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3"/>
  </bookViews>
  <sheets>
    <sheet name="Consolidated Balance Sheet" sheetId="2" r:id="rId1"/>
    <sheet name="Consolidated Profit and Loss" sheetId="3" r:id="rId2"/>
    <sheet name="Consolidated Cash Flow" sheetId="4" r:id="rId3"/>
    <sheet name="Segment Profit and Loss" sheetId="5" r:id="rId4"/>
  </sheets>
  <calcPr calcId="152511"/>
</workbook>
</file>

<file path=xl/calcChain.xml><?xml version="1.0" encoding="utf-8"?>
<calcChain xmlns="http://schemas.openxmlformats.org/spreadsheetml/2006/main">
  <c r="D27" i="5" l="1"/>
  <c r="E27" i="5"/>
  <c r="F27" i="5"/>
  <c r="G27" i="5"/>
  <c r="H27" i="5"/>
  <c r="I27" i="5"/>
  <c r="J27" i="5"/>
  <c r="K27" i="5"/>
  <c r="L42" i="5"/>
  <c r="L41" i="5"/>
  <c r="L40" i="5"/>
  <c r="L38" i="5"/>
  <c r="L37" i="5"/>
  <c r="L36" i="5"/>
  <c r="L29" i="5"/>
  <c r="L34" i="5" s="1"/>
  <c r="L28" i="5"/>
  <c r="C27" i="5"/>
  <c r="B27" i="5"/>
  <c r="L26" i="5"/>
  <c r="L25" i="5"/>
  <c r="G5" i="5"/>
  <c r="H5" i="5"/>
  <c r="I5" i="5"/>
  <c r="J5" i="5"/>
  <c r="C5" i="5"/>
  <c r="D5" i="5"/>
  <c r="E5" i="5"/>
  <c r="F5" i="5"/>
  <c r="B5" i="5"/>
  <c r="K4" i="5"/>
  <c r="K7" i="5"/>
  <c r="K12" i="5" s="1"/>
  <c r="K16" i="5"/>
  <c r="K18" i="5"/>
  <c r="K20" i="5"/>
  <c r="K3" i="5"/>
  <c r="K14" i="5"/>
  <c r="C66" i="4"/>
  <c r="B66" i="4"/>
  <c r="C63" i="4"/>
  <c r="B63" i="4"/>
  <c r="C62" i="4"/>
  <c r="B62" i="4"/>
  <c r="C45" i="4"/>
  <c r="B45" i="4"/>
  <c r="C26" i="4"/>
  <c r="B26" i="4"/>
  <c r="C28" i="4"/>
  <c r="B28" i="4"/>
  <c r="C18" i="4"/>
  <c r="B18" i="4"/>
  <c r="D39" i="3"/>
  <c r="D40" i="3" s="1"/>
  <c r="C39" i="3"/>
  <c r="C40" i="3" s="1"/>
  <c r="D33" i="3"/>
  <c r="C33" i="3"/>
  <c r="C25" i="3"/>
  <c r="D19" i="3"/>
  <c r="D21" i="3" s="1"/>
  <c r="D26" i="3" s="1"/>
  <c r="D42" i="3" s="1"/>
  <c r="D14" i="3"/>
  <c r="C14" i="3"/>
  <c r="D6" i="3"/>
  <c r="D15" i="3" s="1"/>
  <c r="C6" i="3"/>
  <c r="D65" i="2"/>
  <c r="D64" i="2"/>
  <c r="C64" i="2"/>
  <c r="C65" i="2" s="1"/>
  <c r="D63" i="2"/>
  <c r="C63" i="2"/>
  <c r="D51" i="2"/>
  <c r="C51" i="2"/>
  <c r="D39" i="2"/>
  <c r="D41" i="2" s="1"/>
  <c r="C39" i="2"/>
  <c r="C41" i="2" s="1"/>
  <c r="D32" i="2"/>
  <c r="D33" i="2" s="1"/>
  <c r="C32" i="2"/>
  <c r="D20" i="2"/>
  <c r="C20" i="2"/>
  <c r="C33" i="2" s="1"/>
  <c r="L27" i="5" l="1"/>
  <c r="K19" i="5"/>
  <c r="K5" i="5"/>
  <c r="K6" i="5"/>
  <c r="C45" i="3"/>
  <c r="D45" i="3"/>
  <c r="D41" i="3"/>
  <c r="D48" i="3" s="1"/>
  <c r="C15" i="3"/>
  <c r="C19" i="3" s="1"/>
  <c r="C21" i="3" s="1"/>
  <c r="C26" i="3" s="1"/>
  <c r="C42" i="3" s="1"/>
  <c r="K15" i="5" l="1"/>
  <c r="C41" i="3"/>
  <c r="C48" i="3" s="1"/>
</calcChain>
</file>

<file path=xl/sharedStrings.xml><?xml version="1.0" encoding="utf-8"?>
<sst xmlns="http://schemas.openxmlformats.org/spreadsheetml/2006/main" count="232" uniqueCount="171">
  <si>
    <t>Consolidated Balance Sheet</t>
  </si>
  <si>
    <t>(All amounts are in millions of Indian Rupee)</t>
  </si>
  <si>
    <t>March 31, 2026</t>
  </si>
  <si>
    <t>March 31, 2025</t>
  </si>
  <si>
    <t>Assets</t>
  </si>
  <si>
    <t>Non-current assets</t>
  </si>
  <si>
    <t>Financial assets</t>
  </si>
  <si>
    <t>Current assets</t>
  </si>
  <si>
    <t>Notes</t>
  </si>
  <si>
    <t>Property, plant and equipment</t>
  </si>
  <si>
    <t>Capital work-in-progress</t>
  </si>
  <si>
    <t>Right-of-use assets</t>
  </si>
  <si>
    <t>Goodwill</t>
  </si>
  <si>
    <t>Other intangible assets</t>
  </si>
  <si>
    <t>Intangible assets under development</t>
  </si>
  <si>
    <t>Investment in joint ventures and associates</t>
  </si>
  <si>
    <t>Trade receivables</t>
  </si>
  <si>
    <t>Other financial assets</t>
  </si>
  <si>
    <t>Income tax assets (net)</t>
  </si>
  <si>
    <t>Deferred tax assets (net)</t>
  </si>
  <si>
    <t>Other non-current assets</t>
  </si>
  <si>
    <t>Inventories</t>
  </si>
  <si>
    <t>Derivative instruments</t>
  </si>
  <si>
    <t>Other bank balances</t>
  </si>
  <si>
    <t>Other current assets</t>
  </si>
  <si>
    <t>Assets held for sale</t>
  </si>
  <si>
    <t>Total assets</t>
  </si>
  <si>
    <t>Equity and liabilities</t>
  </si>
  <si>
    <t>Equity</t>
  </si>
  <si>
    <t>Share capital</t>
  </si>
  <si>
    <t>Other equity</t>
  </si>
  <si>
    <t>Equity attributable to owners of the Parent</t>
  </si>
  <si>
    <t>Non-controlling interests ('NCI')</t>
  </si>
  <si>
    <t>Non-current liabilities</t>
  </si>
  <si>
    <t>Financial liabilities</t>
  </si>
  <si>
    <t>Lease liabilities</t>
  </si>
  <si>
    <t>Other financial liabilities</t>
  </si>
  <si>
    <t>Deferred revenue</t>
  </si>
  <si>
    <t>Provisions</t>
  </si>
  <si>
    <t>Deferred tax liabilities (net)</t>
  </si>
  <si>
    <t>Other non-current liabilities</t>
  </si>
  <si>
    <t>Current liabilities</t>
  </si>
  <si>
    <t>Current tax liabilities (net)</t>
  </si>
  <si>
    <t>Other current liabilities</t>
  </si>
  <si>
    <t>Total liabilities</t>
  </si>
  <si>
    <t>Total equity and liabilities</t>
  </si>
  <si>
    <t>Investments</t>
  </si>
  <si>
    <t>Loans</t>
  </si>
  <si>
    <t>Cash and cash equivalents</t>
  </si>
  <si>
    <t>Borrowings</t>
  </si>
  <si>
    <t>Trade payables</t>
  </si>
  <si>
    <t>Income</t>
  </si>
  <si>
    <t>Revenue from operations</t>
  </si>
  <si>
    <t>Other income</t>
  </si>
  <si>
    <t>Expenses</t>
  </si>
  <si>
    <t>Network operating expenses</t>
  </si>
  <si>
    <t>Access charges</t>
  </si>
  <si>
    <t>License fee / Spectrum charges</t>
  </si>
  <si>
    <t>Employee benefits expense</t>
  </si>
  <si>
    <t>Sales and marketing expenses</t>
  </si>
  <si>
    <t>Other expenses</t>
  </si>
  <si>
    <t>Depreciation and amortisation expenses</t>
  </si>
  <si>
    <t>Finance costs</t>
  </si>
  <si>
    <t>Share of profit of associates and joint ventures (net)</t>
  </si>
  <si>
    <t>Profit before exceptional items and tax</t>
  </si>
  <si>
    <t>Exceptional items (net)</t>
  </si>
  <si>
    <t>Profit before tax</t>
  </si>
  <si>
    <t>Tax expense / (credit)</t>
  </si>
  <si>
    <t>Current tax</t>
  </si>
  <si>
    <t>Deferred tax</t>
  </si>
  <si>
    <t>Profit for the year</t>
  </si>
  <si>
    <t>Other comprehensive income ('oci')</t>
  </si>
  <si>
    <t>Items to be reclassified to profit or loss:</t>
  </si>
  <si>
    <t>Items not to be reclassified to profit or loss:</t>
  </si>
  <si>
    <t>Gain on investment at fair value through OCI ('FVTOCI')</t>
  </si>
  <si>
    <t>Other comprehensive income for the year</t>
  </si>
  <si>
    <t>Total comprehensive income for the year</t>
  </si>
  <si>
    <t>Profit for the year attributable to:</t>
  </si>
  <si>
    <t>Owners of the Parent</t>
  </si>
  <si>
    <t>NCI</t>
  </si>
  <si>
    <t>Other comprehensive income for the year attributable to:</t>
  </si>
  <si>
    <t>Total comprehensive income for the year attributable to:</t>
  </si>
  <si>
    <t>Consolidated Statement of Profit and Loss</t>
  </si>
  <si>
    <t>Profit before depreciation, amortisation, finance costs, share of profit / (loss) of associates and joint ventures, exceptional items and tax</t>
  </si>
  <si>
    <t>Net gain due to foreign currency translation differences</t>
  </si>
  <si>
    <t>Net gain / (loss) on net investment hedge</t>
  </si>
  <si>
    <t>Tax (charge) / credit on above</t>
  </si>
  <si>
    <t>Re-measurement gain / (loss) on defined benefit plans</t>
  </si>
  <si>
    <t>Share of other comprehensive loss of associates and joint ventures (net)</t>
  </si>
  <si>
    <t>Cash flows from operating activities</t>
  </si>
  <si>
    <t>Dividend income</t>
  </si>
  <si>
    <t>Net gain on fair value through profit or loss ('FVTPL') instruments</t>
  </si>
  <si>
    <t>Interest income</t>
  </si>
  <si>
    <t>Net (gain) / loss on derivative financial instruments</t>
  </si>
  <si>
    <t>Employee share based payment expense</t>
  </si>
  <si>
    <t>Profit on sale of property, plant and equipment</t>
  </si>
  <si>
    <t>Provision for doubtful debts / bad debts written off</t>
  </si>
  <si>
    <t>Other non-cash items</t>
  </si>
  <si>
    <t>Operating cash flows before changes in assets and liabilities</t>
  </si>
  <si>
    <t>Changes in assets and liabilities</t>
  </si>
  <si>
    <t>Other financial and non-financial liabilities</t>
  </si>
  <si>
    <t>Other financial and non-financial assets</t>
  </si>
  <si>
    <t>Net cash generated from operations before tax</t>
  </si>
  <si>
    <t>Income tax paid (net)</t>
  </si>
  <si>
    <t>Net cash generated from operating activities (a)</t>
  </si>
  <si>
    <t>Cash flows from investing activities</t>
  </si>
  <si>
    <t>Purchase of property, plant and equipment and capital work-in-progress</t>
  </si>
  <si>
    <t>Proceeds from sale of property, plant and equipment</t>
  </si>
  <si>
    <t>Purchase of intangible assets and intangible assets under development</t>
  </si>
  <si>
    <t>Payment towards spectrum (including deferred payment liability)*</t>
  </si>
  <si>
    <t>(Purchase of) / proceeds from sale of current investments (net)</t>
  </si>
  <si>
    <t>Purchase of non-current investments</t>
  </si>
  <si>
    <t>Proceeds from sale of non-current investments</t>
  </si>
  <si>
    <t>Cash disposed off on sale of subsidiary (Refer note 4(m))</t>
  </si>
  <si>
    <t>Cash acquired on acquisition of subsidiary (Refer note 4(g))</t>
  </si>
  <si>
    <t>Investment in joint venture and associate</t>
  </si>
  <si>
    <t>Proceeds from sale of investment in joint venture</t>
  </si>
  <si>
    <t>Dividend received</t>
  </si>
  <si>
    <t>Interest received</t>
  </si>
  <si>
    <t>Repayment of loan given</t>
  </si>
  <si>
    <t>Net cash used in investing activities (b)</t>
  </si>
  <si>
    <t>Cash flows from financing activities</t>
  </si>
  <si>
    <t>Proceeds from borrowings</t>
  </si>
  <si>
    <t>Repayment of borrowings</t>
  </si>
  <si>
    <t>Payment of lease liabilities</t>
  </si>
  <si>
    <t>(Repayment of) / proceeds from short-term borrowings (net)</t>
  </si>
  <si>
    <t>Purchase of treasury shares</t>
  </si>
  <si>
    <t>Interest and other finance charges paid*</t>
  </si>
  <si>
    <t>Proceeds from exercise of share options</t>
  </si>
  <si>
    <t>Dividend paid</t>
  </si>
  <si>
    <t>Net proceeds from issuance of equity shares to NCI</t>
  </si>
  <si>
    <t>Payment on maturity of derivatives (net)</t>
  </si>
  <si>
    <t>Redemption of perpetual bonds (refer note 4(r))</t>
  </si>
  <si>
    <t>Purchase of shares from NCI (refer note 4(a) and 4(g))</t>
  </si>
  <si>
    <t>Proceeds from sale of shares of subsidiary to NCI</t>
  </si>
  <si>
    <t>Net cash used in financing activities (c)</t>
  </si>
  <si>
    <t>Net increase in the cash and cash equivalents during the year (a+b+c)</t>
  </si>
  <si>
    <t>Effect of exchange rate on the cash and cash equivalents</t>
  </si>
  <si>
    <t>Cash and cash equivalents as at beginning of the year</t>
  </si>
  <si>
    <t>Consolidated Statement of Cash Flows</t>
  </si>
  <si>
    <t>Adjustments for :</t>
  </si>
  <si>
    <t>Proceeds from issue of shares (net of transaction costs)</t>
  </si>
  <si>
    <t>Cash and cash equivalents as at end of the year</t>
  </si>
  <si>
    <t>Mobile Services (India)</t>
  </si>
  <si>
    <t>Mobile Services (Africa)</t>
  </si>
  <si>
    <t>Airtel Business</t>
  </si>
  <si>
    <t>Passive Infrastucture Services</t>
  </si>
  <si>
    <t>Homes Services</t>
  </si>
  <si>
    <t>Digital TV Services</t>
  </si>
  <si>
    <t>Others</t>
  </si>
  <si>
    <t>Unallocated</t>
  </si>
  <si>
    <t>Eliminations/ Adjustments</t>
  </si>
  <si>
    <t>Total</t>
  </si>
  <si>
    <t>Revenue from External customers</t>
  </si>
  <si>
    <t>Inter segment revenue</t>
  </si>
  <si>
    <t>Total Revenue</t>
  </si>
  <si>
    <t xml:space="preserve">Share of result of joint ventures and associates </t>
  </si>
  <si>
    <t>Segment results</t>
  </si>
  <si>
    <t>Less:</t>
  </si>
  <si>
    <t>Net finance Cost</t>
  </si>
  <si>
    <t>Charity and Donation</t>
  </si>
  <si>
    <t>Other Segment items</t>
  </si>
  <si>
    <t>Capital expenditure</t>
  </si>
  <si>
    <t>Addition to ROU</t>
  </si>
  <si>
    <t>Segmented Profit and Loss (as of March 31, 2026)</t>
  </si>
  <si>
    <t>As of March 31, 2026</t>
  </si>
  <si>
    <t>Segment assets</t>
  </si>
  <si>
    <t>Segment Liabilities</t>
  </si>
  <si>
    <t>Investment in joint ventures and associates (included in segment asset above)</t>
  </si>
  <si>
    <t>Segmented Profit and Loss (as of March 31, 2025)</t>
  </si>
  <si>
    <t>Mobile Services (South Asia)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</si>
</sst>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212529"/>
      <name val="Arial"/>
      <family val="2"/>
    </font>
    <font>
      <sz val="11"/>
      <color rgb="FF212529"/>
      <name val="Arial"/>
      <family val="2"/>
    </font>
    <font>
      <b/>
      <sz val="10"/>
      <color rgb="FF212529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1"/>
      <color rgb="FF212529"/>
      <name val="Arial"/>
      <family val="2"/>
    </font>
    <font>
      <b/>
      <u/>
      <sz val="11"/>
      <color rgb="FF212529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u/>
      <sz val="11"/>
      <color rgb="FF212529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1D1"/>
        <bgColor indexed="64"/>
      </patternFill>
    </fill>
  </fills>
  <borders count="31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 style="medium">
        <color rgb="FFDEE2E6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EE2E6"/>
      </top>
      <bottom/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DEE2E6"/>
      </left>
      <right/>
      <top style="medium">
        <color rgb="FFDEE2E6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 applyAlignment="1"/>
    <xf numFmtId="0" fontId="0" fillId="0" borderId="0" xfId="0" applyAlignment="1"/>
    <xf numFmtId="0" fontId="3" fillId="2" borderId="1" xfId="0" applyFont="1" applyFill="1" applyBorder="1" applyAlignment="1">
      <alignment wrapText="1"/>
    </xf>
    <xf numFmtId="3" fontId="3" fillId="2" borderId="1" xfId="0" applyNumberFormat="1" applyFont="1" applyFill="1" applyBorder="1" applyAlignment="1">
      <alignment wrapText="1"/>
    </xf>
    <xf numFmtId="0" fontId="0" fillId="2" borderId="0" xfId="0" applyFill="1" applyAlignment="1"/>
    <xf numFmtId="0" fontId="0" fillId="3" borderId="0" xfId="0" applyFill="1" applyAlignment="1"/>
    <xf numFmtId="0" fontId="3" fillId="2" borderId="2" xfId="0" applyFont="1" applyFill="1" applyBorder="1" applyAlignment="1">
      <alignment wrapText="1"/>
    </xf>
    <xf numFmtId="3" fontId="3" fillId="2" borderId="2" xfId="0" applyNumberFormat="1" applyFont="1" applyFill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7" fillId="3" borderId="14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3" fontId="7" fillId="3" borderId="5" xfId="0" applyNumberFormat="1" applyFont="1" applyFill="1" applyBorder="1" applyAlignment="1">
      <alignment wrapText="1"/>
    </xf>
    <xf numFmtId="3" fontId="7" fillId="3" borderId="14" xfId="0" applyNumberFormat="1" applyFont="1" applyFill="1" applyBorder="1" applyAlignment="1">
      <alignment wrapText="1"/>
    </xf>
    <xf numFmtId="3" fontId="7" fillId="3" borderId="4" xfId="0" applyNumberFormat="1" applyFont="1" applyFill="1" applyBorder="1" applyAlignment="1">
      <alignment wrapText="1"/>
    </xf>
    <xf numFmtId="0" fontId="0" fillId="0" borderId="10" xfId="0" applyBorder="1" applyAlignment="1"/>
    <xf numFmtId="0" fontId="7" fillId="3" borderId="4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16" xfId="0" applyFont="1" applyFill="1" applyBorder="1" applyAlignment="1">
      <alignment wrapText="1"/>
    </xf>
    <xf numFmtId="0" fontId="7" fillId="3" borderId="0" xfId="0" applyFont="1" applyFill="1" applyBorder="1" applyAlignment="1">
      <alignment wrapText="1"/>
    </xf>
    <xf numFmtId="3" fontId="7" fillId="3" borderId="0" xfId="0" applyNumberFormat="1" applyFont="1" applyFill="1" applyBorder="1" applyAlignment="1">
      <alignment wrapText="1"/>
    </xf>
    <xf numFmtId="3" fontId="7" fillId="3" borderId="16" xfId="0" applyNumberFormat="1" applyFont="1" applyFill="1" applyBorder="1" applyAlignment="1">
      <alignment wrapText="1"/>
    </xf>
    <xf numFmtId="3" fontId="7" fillId="3" borderId="19" xfId="0" applyNumberFormat="1" applyFont="1" applyFill="1" applyBorder="1" applyAlignment="1">
      <alignment wrapText="1"/>
    </xf>
    <xf numFmtId="3" fontId="7" fillId="3" borderId="22" xfId="0" applyNumberFormat="1" applyFont="1" applyFill="1" applyBorder="1" applyAlignment="1">
      <alignment wrapText="1"/>
    </xf>
    <xf numFmtId="3" fontId="8" fillId="3" borderId="5" xfId="0" applyNumberFormat="1" applyFont="1" applyFill="1" applyBorder="1" applyAlignment="1">
      <alignment wrapText="1"/>
    </xf>
    <xf numFmtId="0" fontId="0" fillId="0" borderId="21" xfId="0" applyBorder="1" applyAlignment="1"/>
    <xf numFmtId="0" fontId="10" fillId="3" borderId="6" xfId="0" applyFont="1" applyFill="1" applyBorder="1" applyAlignment="1">
      <alignment wrapText="1"/>
    </xf>
    <xf numFmtId="0" fontId="11" fillId="3" borderId="5" xfId="0" applyFont="1" applyFill="1" applyBorder="1" applyAlignment="1">
      <alignment horizontal="center" wrapText="1"/>
    </xf>
    <xf numFmtId="0" fontId="11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5" fillId="3" borderId="5" xfId="0" applyFont="1" applyFill="1" applyBorder="1" applyAlignment="1">
      <alignment horizontal="center" wrapText="1"/>
    </xf>
    <xf numFmtId="0" fontId="13" fillId="3" borderId="5" xfId="0" applyFont="1" applyFill="1" applyBorder="1" applyAlignment="1">
      <alignment wrapText="1"/>
    </xf>
    <xf numFmtId="3" fontId="3" fillId="3" borderId="5" xfId="0" applyNumberFormat="1" applyFont="1" applyFill="1" applyBorder="1" applyAlignment="1">
      <alignment wrapText="1"/>
    </xf>
    <xf numFmtId="3" fontId="3" fillId="3" borderId="19" xfId="0" applyNumberFormat="1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3" fontId="14" fillId="3" borderId="25" xfId="0" applyNumberFormat="1" applyFont="1" applyFill="1" applyBorder="1" applyAlignment="1">
      <alignment wrapText="1"/>
    </xf>
    <xf numFmtId="3" fontId="14" fillId="3" borderId="23" xfId="0" applyNumberFormat="1" applyFont="1" applyFill="1" applyBorder="1" applyAlignment="1">
      <alignment wrapText="1"/>
    </xf>
    <xf numFmtId="3" fontId="12" fillId="3" borderId="15" xfId="0" applyNumberFormat="1" applyFont="1" applyFill="1" applyBorder="1" applyAlignment="1">
      <alignment wrapText="1"/>
    </xf>
    <xf numFmtId="3" fontId="4" fillId="3" borderId="5" xfId="0" applyNumberFormat="1" applyFont="1" applyFill="1" applyBorder="1" applyAlignment="1">
      <alignment wrapText="1"/>
    </xf>
    <xf numFmtId="3" fontId="4" fillId="3" borderId="27" xfId="0" applyNumberFormat="1" applyFont="1" applyFill="1" applyBorder="1" applyAlignment="1">
      <alignment wrapText="1"/>
    </xf>
    <xf numFmtId="3" fontId="3" fillId="3" borderId="26" xfId="0" applyNumberFormat="1" applyFont="1" applyFill="1" applyBorder="1" applyAlignment="1">
      <alignment wrapText="1"/>
    </xf>
    <xf numFmtId="3" fontId="14" fillId="3" borderId="28" xfId="0" applyNumberFormat="1" applyFont="1" applyFill="1" applyBorder="1" applyAlignment="1">
      <alignment wrapText="1"/>
    </xf>
    <xf numFmtId="0" fontId="7" fillId="3" borderId="11" xfId="0" applyFont="1" applyFill="1" applyBorder="1" applyAlignment="1">
      <alignment wrapText="1"/>
    </xf>
    <xf numFmtId="0" fontId="14" fillId="3" borderId="6" xfId="0" applyFont="1" applyFill="1" applyBorder="1" applyAlignment="1">
      <alignment wrapText="1"/>
    </xf>
    <xf numFmtId="0" fontId="14" fillId="3" borderId="16" xfId="0" applyFont="1" applyFill="1" applyBorder="1" applyAlignment="1"/>
    <xf numFmtId="0" fontId="14" fillId="3" borderId="6" xfId="0" applyFont="1" applyFill="1" applyBorder="1" applyAlignment="1"/>
    <xf numFmtId="3" fontId="11" fillId="3" borderId="24" xfId="0" applyNumberFormat="1" applyFont="1" applyFill="1" applyBorder="1" applyAlignment="1"/>
    <xf numFmtId="3" fontId="11" fillId="3" borderId="16" xfId="0" applyNumberFormat="1" applyFont="1" applyFill="1" applyBorder="1" applyAlignment="1"/>
    <xf numFmtId="0" fontId="14" fillId="3" borderId="5" xfId="0" applyFont="1" applyFill="1" applyBorder="1" applyAlignment="1"/>
    <xf numFmtId="0" fontId="14" fillId="3" borderId="4" xfId="0" applyFont="1" applyFill="1" applyBorder="1" applyAlignment="1"/>
    <xf numFmtId="3" fontId="14" fillId="3" borderId="28" xfId="0" applyNumberFormat="1" applyFont="1" applyFill="1" applyBorder="1" applyAlignment="1"/>
    <xf numFmtId="0" fontId="15" fillId="3" borderId="5" xfId="0" applyFont="1" applyFill="1" applyBorder="1" applyAlignment="1"/>
    <xf numFmtId="0" fontId="4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wrapText="1"/>
    </xf>
    <xf numFmtId="3" fontId="12" fillId="3" borderId="19" xfId="0" applyNumberFormat="1" applyFont="1" applyFill="1" applyBorder="1" applyAlignment="1">
      <alignment wrapText="1"/>
    </xf>
    <xf numFmtId="3" fontId="12" fillId="3" borderId="5" xfId="0" applyNumberFormat="1" applyFont="1" applyFill="1" applyBorder="1" applyAlignment="1">
      <alignment wrapText="1"/>
    </xf>
    <xf numFmtId="0" fontId="12" fillId="3" borderId="5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wrapText="1"/>
    </xf>
    <xf numFmtId="0" fontId="3" fillId="3" borderId="19" xfId="0" applyFont="1" applyFill="1" applyBorder="1" applyAlignment="1">
      <alignment wrapText="1"/>
    </xf>
    <xf numFmtId="3" fontId="12" fillId="3" borderId="24" xfId="0" applyNumberFormat="1" applyFont="1" applyFill="1" applyBorder="1" applyAlignment="1">
      <alignment wrapText="1"/>
    </xf>
    <xf numFmtId="3" fontId="4" fillId="3" borderId="28" xfId="0" applyNumberFormat="1" applyFont="1" applyFill="1" applyBorder="1" applyAlignment="1">
      <alignment wrapText="1"/>
    </xf>
    <xf numFmtId="3" fontId="12" fillId="3" borderId="16" xfId="0" applyNumberFormat="1" applyFont="1" applyFill="1" applyBorder="1" applyAlignment="1">
      <alignment wrapText="1"/>
    </xf>
    <xf numFmtId="0" fontId="3" fillId="3" borderId="16" xfId="0" applyFont="1" applyFill="1" applyBorder="1" applyAlignment="1">
      <alignment wrapText="1"/>
    </xf>
    <xf numFmtId="3" fontId="12" fillId="3" borderId="29" xfId="0" applyNumberFormat="1" applyFont="1" applyFill="1" applyBorder="1" applyAlignment="1">
      <alignment wrapText="1"/>
    </xf>
    <xf numFmtId="0" fontId="16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3" fillId="3" borderId="11" xfId="0" applyFont="1" applyFill="1" applyBorder="1" applyAlignment="1">
      <alignment wrapText="1"/>
    </xf>
    <xf numFmtId="3" fontId="3" fillId="3" borderId="16" xfId="0" applyNumberFormat="1" applyFont="1" applyFill="1" applyBorder="1" applyAlignment="1">
      <alignment wrapText="1"/>
    </xf>
    <xf numFmtId="3" fontId="3" fillId="3" borderId="10" xfId="0" applyNumberFormat="1" applyFont="1" applyFill="1" applyBorder="1" applyAlignment="1">
      <alignment wrapText="1"/>
    </xf>
    <xf numFmtId="3" fontId="3" fillId="3" borderId="7" xfId="0" applyNumberFormat="1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0" fillId="0" borderId="0" xfId="0" applyFont="1" applyAlignment="1"/>
    <xf numFmtId="0" fontId="4" fillId="3" borderId="11" xfId="0" applyFont="1" applyFill="1" applyBorder="1" applyAlignment="1">
      <alignment wrapText="1"/>
    </xf>
    <xf numFmtId="0" fontId="9" fillId="0" borderId="7" xfId="0" applyFont="1" applyFill="1" applyBorder="1" applyAlignment="1">
      <alignment wrapText="1"/>
    </xf>
    <xf numFmtId="0" fontId="17" fillId="0" borderId="0" xfId="0" applyFont="1" applyAlignment="1"/>
    <xf numFmtId="0" fontId="17" fillId="0" borderId="18" xfId="0" applyFont="1" applyBorder="1" applyAlignment="1"/>
    <xf numFmtId="0" fontId="12" fillId="3" borderId="7" xfId="0" applyFont="1" applyFill="1" applyBorder="1" applyAlignment="1">
      <alignment wrapText="1"/>
    </xf>
    <xf numFmtId="0" fontId="3" fillId="3" borderId="20" xfId="0" applyFont="1" applyFill="1" applyBorder="1" applyAlignment="1">
      <alignment wrapText="1"/>
    </xf>
    <xf numFmtId="0" fontId="3" fillId="3" borderId="30" xfId="0" applyFont="1" applyFill="1" applyBorder="1" applyAlignment="1">
      <alignment wrapText="1"/>
    </xf>
    <xf numFmtId="3" fontId="3" fillId="3" borderId="30" xfId="0" applyNumberFormat="1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7" fillId="0" borderId="0" xfId="0" applyFont="1" applyBorder="1" applyAlignment="1"/>
    <xf numFmtId="3" fontId="3" fillId="3" borderId="14" xfId="0" applyNumberFormat="1" applyFont="1" applyFill="1" applyBorder="1" applyAlignment="1">
      <alignment wrapText="1"/>
    </xf>
    <xf numFmtId="3" fontId="3" fillId="3" borderId="17" xfId="0" applyNumberFormat="1" applyFont="1" applyFill="1" applyBorder="1" applyAlignment="1">
      <alignment wrapText="1"/>
    </xf>
    <xf numFmtId="0" fontId="3" fillId="3" borderId="18" xfId="0" applyFont="1" applyFill="1" applyBorder="1" applyAlignment="1">
      <alignment wrapText="1"/>
    </xf>
    <xf numFmtId="3" fontId="3" fillId="3" borderId="20" xfId="0" applyNumberFormat="1" applyFont="1" applyFill="1" applyBorder="1" applyAlignment="1">
      <alignment wrapText="1"/>
    </xf>
    <xf numFmtId="0" fontId="3" fillId="3" borderId="13" xfId="0" applyFont="1" applyFill="1" applyBorder="1" applyAlignment="1">
      <alignment wrapText="1"/>
    </xf>
    <xf numFmtId="0" fontId="3" fillId="3" borderId="14" xfId="0" applyFont="1" applyFill="1" applyBorder="1" applyAlignment="1">
      <alignment wrapText="1"/>
    </xf>
    <xf numFmtId="0" fontId="3" fillId="3" borderId="17" xfId="0" applyFont="1" applyFill="1" applyBorder="1" applyAlignment="1">
      <alignment wrapText="1"/>
    </xf>
    <xf numFmtId="3" fontId="17" fillId="0" borderId="0" xfId="0" applyNumberFormat="1" applyFont="1" applyAlignment="1"/>
    <xf numFmtId="0" fontId="17" fillId="3" borderId="5" xfId="0" applyFont="1" applyFill="1" applyBorder="1" applyAlignment="1"/>
    <xf numFmtId="0" fontId="17" fillId="3" borderId="7" xfId="0" applyFont="1" applyFill="1" applyBorder="1" applyAlignment="1"/>
    <xf numFmtId="0" fontId="5" fillId="3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wrapText="1"/>
    </xf>
    <xf numFmtId="3" fontId="12" fillId="0" borderId="0" xfId="0" applyNumberFormat="1" applyFont="1" applyFill="1" applyBorder="1" applyAlignment="1">
      <alignment wrapText="1"/>
    </xf>
    <xf numFmtId="0" fontId="5" fillId="3" borderId="14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/>
    <xf numFmtId="3" fontId="4" fillId="3" borderId="14" xfId="0" applyNumberFormat="1" applyFont="1" applyFill="1" applyBorder="1" applyAlignment="1">
      <alignment wrapText="1"/>
    </xf>
    <xf numFmtId="0" fontId="1" fillId="0" borderId="0" xfId="0" applyFont="1" applyAlignment="1"/>
    <xf numFmtId="0" fontId="17" fillId="3" borderId="6" xfId="0" applyFont="1" applyFill="1" applyBorder="1" applyAlignment="1"/>
    <xf numFmtId="0" fontId="19" fillId="3" borderId="5" xfId="0" applyFont="1" applyFill="1" applyBorder="1" applyAlignment="1"/>
    <xf numFmtId="0" fontId="17" fillId="3" borderId="0" xfId="0" applyFont="1" applyFill="1" applyAlignment="1"/>
    <xf numFmtId="0" fontId="17" fillId="3" borderId="16" xfId="0" applyFont="1" applyFill="1" applyBorder="1" applyAlignment="1"/>
    <xf numFmtId="0" fontId="17" fillId="3" borderId="11" xfId="0" applyFont="1" applyFill="1" applyBorder="1" applyAlignment="1"/>
    <xf numFmtId="0" fontId="17" fillId="3" borderId="10" xfId="0" applyFont="1" applyFill="1" applyBorder="1" applyAlignment="1"/>
    <xf numFmtId="0" fontId="17" fillId="3" borderId="13" xfId="0" applyFont="1" applyFill="1" applyBorder="1" applyAlignment="1"/>
    <xf numFmtId="0" fontId="17" fillId="3" borderId="14" xfId="0" applyFont="1" applyFill="1" applyBorder="1" applyAlignment="1"/>
    <xf numFmtId="0" fontId="17" fillId="3" borderId="17" xfId="0" applyFont="1" applyFill="1" applyBorder="1" applyAlignment="1"/>
    <xf numFmtId="0" fontId="0" fillId="3" borderId="6" xfId="0" applyFont="1" applyFill="1" applyBorder="1" applyAlignment="1"/>
    <xf numFmtId="0" fontId="0" fillId="3" borderId="5" xfId="0" applyFont="1" applyFill="1" applyBorder="1" applyAlignment="1"/>
    <xf numFmtId="0" fontId="0" fillId="3" borderId="7" xfId="0" applyFont="1" applyFill="1" applyBorder="1" applyAlignment="1"/>
    <xf numFmtId="0" fontId="0" fillId="3" borderId="18" xfId="0" applyFont="1" applyFill="1" applyBorder="1" applyAlignment="1"/>
    <xf numFmtId="0" fontId="0" fillId="3" borderId="19" xfId="0" applyFont="1" applyFill="1" applyBorder="1" applyAlignment="1"/>
    <xf numFmtId="0" fontId="0" fillId="3" borderId="20" xfId="0" applyFont="1" applyFill="1" applyBorder="1" applyAlignment="1"/>
    <xf numFmtId="0" fontId="17" fillId="3" borderId="18" xfId="0" applyFont="1" applyFill="1" applyBorder="1" applyAlignment="1"/>
    <xf numFmtId="0" fontId="17" fillId="3" borderId="19" xfId="0" applyFont="1" applyFill="1" applyBorder="1" applyAlignment="1"/>
    <xf numFmtId="0" fontId="17" fillId="3" borderId="20" xfId="0" applyFont="1" applyFill="1" applyBorder="1" applyAlignment="1"/>
    <xf numFmtId="0" fontId="0" fillId="3" borderId="4" xfId="0" applyFont="1" applyFill="1" applyBorder="1" applyAlignment="1"/>
    <xf numFmtId="0" fontId="17" fillId="3" borderId="4" xfId="0" applyFont="1" applyFill="1" applyBorder="1" applyAlignment="1"/>
    <xf numFmtId="0" fontId="17" fillId="3" borderId="21" xfId="0" applyFont="1" applyFill="1" applyBorder="1" applyAlignment="1"/>
    <xf numFmtId="0" fontId="19" fillId="3" borderId="19" xfId="0" applyFont="1" applyFill="1" applyBorder="1" applyAlignment="1"/>
    <xf numFmtId="0" fontId="19" fillId="3" borderId="15" xfId="0" applyFont="1" applyFill="1" applyBorder="1" applyAlignment="1"/>
    <xf numFmtId="0" fontId="6" fillId="3" borderId="12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9" fillId="3" borderId="17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wrapText="1"/>
    </xf>
    <xf numFmtId="0" fontId="6" fillId="3" borderId="18" xfId="0" applyFont="1" applyFill="1" applyBorder="1" applyAlignment="1">
      <alignment horizontal="center" wrapText="1"/>
    </xf>
    <xf numFmtId="0" fontId="6" fillId="3" borderId="2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D1D1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workbookViewId="0">
      <selection activeCell="G63" sqref="G63"/>
    </sheetView>
  </sheetViews>
  <sheetFormatPr defaultRowHeight="24.6" customHeight="1" x14ac:dyDescent="0.3"/>
  <cols>
    <col min="1" max="1" width="39.109375" style="2" bestFit="1" customWidth="1"/>
    <col min="2" max="2" width="7.6640625" style="2" customWidth="1"/>
    <col min="3" max="3" width="15.88671875" style="2" customWidth="1"/>
    <col min="4" max="4" width="17.88671875" style="2" customWidth="1"/>
    <col min="5" max="16384" width="8.88671875" style="2"/>
  </cols>
  <sheetData>
    <row r="1" spans="1:9" s="1" customFormat="1" ht="24.6" customHeight="1" x14ac:dyDescent="0.3">
      <c r="A1" s="128" t="s">
        <v>0</v>
      </c>
      <c r="B1" s="129"/>
      <c r="C1" s="129"/>
      <c r="D1" s="130"/>
    </row>
    <row r="2" spans="1:9" ht="24.6" customHeight="1" x14ac:dyDescent="0.3">
      <c r="A2" s="11" t="s">
        <v>1</v>
      </c>
      <c r="B2" s="29" t="s">
        <v>8</v>
      </c>
      <c r="C2" s="30" t="s">
        <v>2</v>
      </c>
      <c r="D2" s="29" t="s">
        <v>3</v>
      </c>
    </row>
    <row r="3" spans="1:9" ht="24.6" customHeight="1" x14ac:dyDescent="0.3">
      <c r="A3" s="28" t="s">
        <v>4</v>
      </c>
      <c r="B3" s="13"/>
      <c r="C3" s="18"/>
      <c r="D3" s="13"/>
    </row>
    <row r="4" spans="1:9" ht="24.6" customHeight="1" x14ac:dyDescent="0.3">
      <c r="A4" s="9" t="s">
        <v>5</v>
      </c>
      <c r="B4" s="20"/>
      <c r="C4" s="21"/>
      <c r="D4" s="20"/>
      <c r="I4" s="27"/>
    </row>
    <row r="5" spans="1:9" ht="24.6" customHeight="1" x14ac:dyDescent="0.3">
      <c r="A5" s="11" t="s">
        <v>9</v>
      </c>
      <c r="B5" s="13">
        <v>5</v>
      </c>
      <c r="C5" s="16">
        <v>1570659</v>
      </c>
      <c r="D5" s="14">
        <v>1432724</v>
      </c>
    </row>
    <row r="6" spans="1:9" ht="24.6" customHeight="1" x14ac:dyDescent="0.3">
      <c r="A6" s="9" t="s">
        <v>10</v>
      </c>
      <c r="B6" s="20">
        <v>5</v>
      </c>
      <c r="C6" s="22">
        <v>126131</v>
      </c>
      <c r="D6" s="23">
        <v>105962</v>
      </c>
    </row>
    <row r="7" spans="1:9" ht="24.6" customHeight="1" x14ac:dyDescent="0.3">
      <c r="A7" s="11" t="s">
        <v>11</v>
      </c>
      <c r="B7" s="13">
        <v>36</v>
      </c>
      <c r="C7" s="16">
        <v>673244</v>
      </c>
      <c r="D7" s="14">
        <v>602415</v>
      </c>
    </row>
    <row r="8" spans="1:9" ht="24.6" customHeight="1" x14ac:dyDescent="0.3">
      <c r="A8" s="9" t="s">
        <v>12</v>
      </c>
      <c r="B8" s="20">
        <v>6</v>
      </c>
      <c r="C8" s="22">
        <v>566859</v>
      </c>
      <c r="D8" s="23">
        <v>516974</v>
      </c>
    </row>
    <row r="9" spans="1:9" ht="24.6" customHeight="1" x14ac:dyDescent="0.3">
      <c r="A9" s="11" t="s">
        <v>13</v>
      </c>
      <c r="B9" s="13">
        <v>6</v>
      </c>
      <c r="C9" s="16">
        <v>1252604</v>
      </c>
      <c r="D9" s="14">
        <v>1332569</v>
      </c>
    </row>
    <row r="10" spans="1:9" ht="24.6" customHeight="1" x14ac:dyDescent="0.3">
      <c r="A10" s="9" t="s">
        <v>14</v>
      </c>
      <c r="B10" s="20">
        <v>6</v>
      </c>
      <c r="C10" s="22">
        <v>3250</v>
      </c>
      <c r="D10" s="23">
        <v>4027</v>
      </c>
    </row>
    <row r="11" spans="1:9" ht="24.6" customHeight="1" x14ac:dyDescent="0.3">
      <c r="A11" s="11" t="s">
        <v>15</v>
      </c>
      <c r="B11" s="13">
        <v>7</v>
      </c>
      <c r="C11" s="16">
        <v>40622</v>
      </c>
      <c r="D11" s="14">
        <v>36416</v>
      </c>
    </row>
    <row r="12" spans="1:9" ht="24.6" customHeight="1" x14ac:dyDescent="0.3">
      <c r="A12" s="9" t="s">
        <v>6</v>
      </c>
      <c r="B12" s="20"/>
      <c r="C12" s="21"/>
      <c r="D12" s="20"/>
    </row>
    <row r="13" spans="1:9" ht="24.6" customHeight="1" x14ac:dyDescent="0.3">
      <c r="A13" s="11" t="s">
        <v>46</v>
      </c>
      <c r="B13" s="13">
        <v>9</v>
      </c>
      <c r="C13" s="16">
        <v>11385</v>
      </c>
      <c r="D13" s="14">
        <v>5435</v>
      </c>
    </row>
    <row r="14" spans="1:9" ht="24.6" customHeight="1" x14ac:dyDescent="0.3">
      <c r="A14" s="9" t="s">
        <v>16</v>
      </c>
      <c r="B14" s="20">
        <v>14</v>
      </c>
      <c r="C14" s="22">
        <v>2544</v>
      </c>
      <c r="D14" s="23">
        <v>2131</v>
      </c>
    </row>
    <row r="15" spans="1:9" ht="24.6" customHeight="1" x14ac:dyDescent="0.3">
      <c r="A15" s="11" t="s">
        <v>47</v>
      </c>
      <c r="B15" s="13"/>
      <c r="C15" s="18">
        <v>0</v>
      </c>
      <c r="D15" s="13">
        <v>865</v>
      </c>
    </row>
    <row r="16" spans="1:9" ht="24.6" customHeight="1" x14ac:dyDescent="0.3">
      <c r="A16" s="9" t="s">
        <v>17</v>
      </c>
      <c r="B16" s="20">
        <v>11</v>
      </c>
      <c r="C16" s="22">
        <v>35700</v>
      </c>
      <c r="D16" s="23">
        <v>37471</v>
      </c>
    </row>
    <row r="17" spans="1:4" ht="24.6" customHeight="1" x14ac:dyDescent="0.3">
      <c r="A17" s="11" t="s">
        <v>18</v>
      </c>
      <c r="B17" s="13"/>
      <c r="C17" s="16">
        <v>20181</v>
      </c>
      <c r="D17" s="14">
        <v>24978</v>
      </c>
    </row>
    <row r="18" spans="1:4" ht="24.6" customHeight="1" x14ac:dyDescent="0.3">
      <c r="A18" s="9" t="s">
        <v>19</v>
      </c>
      <c r="B18" s="20">
        <v>12</v>
      </c>
      <c r="C18" s="22">
        <v>191413</v>
      </c>
      <c r="D18" s="24">
        <v>249111</v>
      </c>
    </row>
    <row r="19" spans="1:4" ht="24.6" customHeight="1" thickBot="1" x14ac:dyDescent="0.35">
      <c r="A19" s="11" t="s">
        <v>20</v>
      </c>
      <c r="B19" s="13">
        <v>13</v>
      </c>
      <c r="C19" s="25">
        <v>124770</v>
      </c>
      <c r="D19" s="15">
        <v>116638</v>
      </c>
    </row>
    <row r="20" spans="1:4" ht="24.6" customHeight="1" thickBot="1" x14ac:dyDescent="0.35">
      <c r="A20" s="11"/>
      <c r="B20" s="11"/>
      <c r="C20" s="43">
        <f>SUM(C5:C19)</f>
        <v>4619362</v>
      </c>
      <c r="D20" s="38">
        <f>SUM(D5:D19)</f>
        <v>4467716</v>
      </c>
    </row>
    <row r="21" spans="1:4" ht="24.6" customHeight="1" x14ac:dyDescent="0.3">
      <c r="A21" s="9" t="s">
        <v>7</v>
      </c>
      <c r="B21" s="20"/>
      <c r="C21" s="22"/>
      <c r="D21" s="23"/>
    </row>
    <row r="22" spans="1:4" ht="24.6" customHeight="1" x14ac:dyDescent="0.3">
      <c r="A22" s="11" t="s">
        <v>21</v>
      </c>
      <c r="B22" s="13"/>
      <c r="C22" s="16">
        <v>6009</v>
      </c>
      <c r="D22" s="14">
        <v>4517</v>
      </c>
    </row>
    <row r="23" spans="1:4" ht="24.6" customHeight="1" x14ac:dyDescent="0.3">
      <c r="A23" s="9" t="s">
        <v>6</v>
      </c>
      <c r="B23" s="20"/>
      <c r="C23" s="21"/>
      <c r="D23" s="20"/>
    </row>
    <row r="24" spans="1:4" ht="24.6" customHeight="1" x14ac:dyDescent="0.3">
      <c r="A24" s="11" t="s">
        <v>46</v>
      </c>
      <c r="B24" s="13">
        <v>9</v>
      </c>
      <c r="C24" s="16">
        <v>137006</v>
      </c>
      <c r="D24" s="14">
        <v>16532</v>
      </c>
    </row>
    <row r="25" spans="1:4" ht="24.6" customHeight="1" x14ac:dyDescent="0.3">
      <c r="A25" s="9" t="s">
        <v>22</v>
      </c>
      <c r="B25" s="20">
        <v>10</v>
      </c>
      <c r="C25" s="22">
        <v>5040</v>
      </c>
      <c r="D25" s="20">
        <v>813</v>
      </c>
    </row>
    <row r="26" spans="1:4" ht="24.6" customHeight="1" x14ac:dyDescent="0.3">
      <c r="A26" s="11" t="s">
        <v>16</v>
      </c>
      <c r="B26" s="13">
        <v>14</v>
      </c>
      <c r="C26" s="16">
        <v>79776</v>
      </c>
      <c r="D26" s="14">
        <v>74557</v>
      </c>
    </row>
    <row r="27" spans="1:4" ht="24.6" customHeight="1" x14ac:dyDescent="0.3">
      <c r="A27" s="9" t="s">
        <v>48</v>
      </c>
      <c r="B27" s="20">
        <v>15</v>
      </c>
      <c r="C27" s="22">
        <v>137222</v>
      </c>
      <c r="D27" s="23">
        <v>61056</v>
      </c>
    </row>
    <row r="28" spans="1:4" ht="24.6" customHeight="1" x14ac:dyDescent="0.3">
      <c r="A28" s="11" t="s">
        <v>23</v>
      </c>
      <c r="B28" s="13">
        <v>15</v>
      </c>
      <c r="C28" s="16">
        <v>166546</v>
      </c>
      <c r="D28" s="14">
        <v>106143</v>
      </c>
    </row>
    <row r="29" spans="1:4" ht="24.6" customHeight="1" x14ac:dyDescent="0.3">
      <c r="A29" s="9" t="s">
        <v>17</v>
      </c>
      <c r="B29" s="20">
        <v>11</v>
      </c>
      <c r="C29" s="22">
        <v>244264</v>
      </c>
      <c r="D29" s="23">
        <v>267662</v>
      </c>
    </row>
    <row r="30" spans="1:4" ht="24.6" customHeight="1" x14ac:dyDescent="0.3">
      <c r="A30" s="11" t="s">
        <v>24</v>
      </c>
      <c r="B30" s="13">
        <v>13</v>
      </c>
      <c r="C30" s="16">
        <v>125718</v>
      </c>
      <c r="D30" s="14">
        <v>144608</v>
      </c>
    </row>
    <row r="31" spans="1:4" ht="24.6" customHeight="1" thickBot="1" x14ac:dyDescent="0.35">
      <c r="A31" s="9" t="s">
        <v>25</v>
      </c>
      <c r="B31" s="44"/>
      <c r="C31" s="12">
        <v>573</v>
      </c>
      <c r="D31" s="46">
        <v>0</v>
      </c>
    </row>
    <row r="32" spans="1:4" ht="24.6" customHeight="1" thickBot="1" x14ac:dyDescent="0.35">
      <c r="A32" s="47"/>
      <c r="B32" s="47"/>
      <c r="C32" s="43">
        <f>SUM(C22:C31)</f>
        <v>902154</v>
      </c>
      <c r="D32" s="43">
        <f>SUM(D22:D31)</f>
        <v>675888</v>
      </c>
    </row>
    <row r="33" spans="1:4" ht="24.6" customHeight="1" thickBot="1" x14ac:dyDescent="0.35">
      <c r="A33" s="36" t="s">
        <v>26</v>
      </c>
      <c r="B33" s="45"/>
      <c r="C33" s="48">
        <f>C32+C20</f>
        <v>5521516</v>
      </c>
      <c r="D33" s="48">
        <f>D32+D20</f>
        <v>5143604</v>
      </c>
    </row>
    <row r="34" spans="1:4" ht="24.6" customHeight="1" thickTop="1" x14ac:dyDescent="0.3">
      <c r="A34" s="10"/>
      <c r="B34" s="44"/>
      <c r="C34" s="49"/>
      <c r="D34" s="49"/>
    </row>
    <row r="35" spans="1:4" ht="24.6" customHeight="1" x14ac:dyDescent="0.3">
      <c r="A35" s="28" t="s">
        <v>27</v>
      </c>
      <c r="B35" s="11"/>
      <c r="C35" s="13"/>
      <c r="D35" s="13"/>
    </row>
    <row r="36" spans="1:4" ht="24.6" customHeight="1" x14ac:dyDescent="0.3">
      <c r="A36" s="9" t="s">
        <v>28</v>
      </c>
      <c r="B36" s="44"/>
      <c r="C36" s="20"/>
      <c r="D36" s="20"/>
    </row>
    <row r="37" spans="1:4" ht="24.6" customHeight="1" x14ac:dyDescent="0.3">
      <c r="A37" s="11" t="s">
        <v>29</v>
      </c>
      <c r="B37" s="11">
        <v>16</v>
      </c>
      <c r="C37" s="14">
        <v>30468</v>
      </c>
      <c r="D37" s="14">
        <v>29001</v>
      </c>
    </row>
    <row r="38" spans="1:4" ht="24.6" customHeight="1" x14ac:dyDescent="0.3">
      <c r="A38" s="9" t="s">
        <v>30</v>
      </c>
      <c r="B38" s="44"/>
      <c r="C38" s="23">
        <v>1460098</v>
      </c>
      <c r="D38" s="23">
        <v>1107718</v>
      </c>
    </row>
    <row r="39" spans="1:4" ht="24.6" customHeight="1" x14ac:dyDescent="0.3">
      <c r="A39" s="19" t="s">
        <v>31</v>
      </c>
      <c r="B39" s="11"/>
      <c r="C39" s="26">
        <f>SUM(C37:C38)</f>
        <v>1490566</v>
      </c>
      <c r="D39" s="26">
        <f>SUM(D37:D38)</f>
        <v>1136719</v>
      </c>
    </row>
    <row r="40" spans="1:4" ht="24.6" customHeight="1" thickBot="1" x14ac:dyDescent="0.35">
      <c r="A40" s="9" t="s">
        <v>32</v>
      </c>
      <c r="B40" s="44"/>
      <c r="C40" s="23">
        <v>469068</v>
      </c>
      <c r="D40" s="23">
        <v>397958</v>
      </c>
    </row>
    <row r="41" spans="1:4" ht="24.6" customHeight="1" thickBot="1" x14ac:dyDescent="0.35">
      <c r="A41" s="47"/>
      <c r="B41" s="11"/>
      <c r="C41" s="43">
        <f>C39+C40</f>
        <v>1959634</v>
      </c>
      <c r="D41" s="43">
        <f>D39+D40</f>
        <v>1534677</v>
      </c>
    </row>
    <row r="42" spans="1:4" ht="24.6" customHeight="1" x14ac:dyDescent="0.3">
      <c r="A42" s="10" t="s">
        <v>33</v>
      </c>
      <c r="B42" s="44"/>
      <c r="C42" s="23"/>
      <c r="D42" s="24"/>
    </row>
    <row r="43" spans="1:4" ht="24.6" customHeight="1" x14ac:dyDescent="0.3">
      <c r="A43" s="11" t="s">
        <v>34</v>
      </c>
      <c r="B43" s="47"/>
      <c r="C43" s="50"/>
      <c r="D43" s="50"/>
    </row>
    <row r="44" spans="1:4" ht="24.6" customHeight="1" x14ac:dyDescent="0.3">
      <c r="A44" s="9" t="s">
        <v>49</v>
      </c>
      <c r="B44" s="44">
        <v>18</v>
      </c>
      <c r="C44" s="23">
        <v>1000849</v>
      </c>
      <c r="D44" s="23">
        <v>1048638</v>
      </c>
    </row>
    <row r="45" spans="1:4" ht="24.6" customHeight="1" x14ac:dyDescent="0.3">
      <c r="A45" s="11" t="s">
        <v>35</v>
      </c>
      <c r="B45" s="11">
        <v>36</v>
      </c>
      <c r="C45" s="14">
        <v>644996</v>
      </c>
      <c r="D45" s="14">
        <v>556701</v>
      </c>
    </row>
    <row r="46" spans="1:4" ht="24.6" customHeight="1" x14ac:dyDescent="0.3">
      <c r="A46" s="9" t="s">
        <v>36</v>
      </c>
      <c r="B46" s="44">
        <v>19</v>
      </c>
      <c r="C46" s="23">
        <v>26320</v>
      </c>
      <c r="D46" s="23">
        <v>38642</v>
      </c>
    </row>
    <row r="47" spans="1:4" ht="24.6" customHeight="1" x14ac:dyDescent="0.3">
      <c r="A47" s="11" t="s">
        <v>37</v>
      </c>
      <c r="B47" s="11">
        <v>24</v>
      </c>
      <c r="C47" s="14">
        <v>40185</v>
      </c>
      <c r="D47" s="14">
        <v>35185</v>
      </c>
    </row>
    <row r="48" spans="1:4" ht="24.6" customHeight="1" x14ac:dyDescent="0.3">
      <c r="A48" s="9" t="s">
        <v>38</v>
      </c>
      <c r="B48" s="44">
        <v>20</v>
      </c>
      <c r="C48" s="24">
        <v>35189</v>
      </c>
      <c r="D48" s="23">
        <v>30396</v>
      </c>
    </row>
    <row r="49" spans="1:6" ht="24.6" customHeight="1" x14ac:dyDescent="0.3">
      <c r="A49" s="11" t="s">
        <v>39</v>
      </c>
      <c r="B49" s="13">
        <v>12</v>
      </c>
      <c r="C49" s="16">
        <v>67789</v>
      </c>
      <c r="D49" s="14">
        <v>93549</v>
      </c>
    </row>
    <row r="50" spans="1:6" ht="24.6" customHeight="1" thickBot="1" x14ac:dyDescent="0.35">
      <c r="A50" s="9" t="s">
        <v>40</v>
      </c>
      <c r="B50" s="20">
        <v>21</v>
      </c>
      <c r="C50" s="22">
        <v>1497</v>
      </c>
      <c r="D50" s="15">
        <v>1414</v>
      </c>
    </row>
    <row r="51" spans="1:6" ht="24.6" customHeight="1" thickBot="1" x14ac:dyDescent="0.35">
      <c r="A51" s="11"/>
      <c r="B51" s="13"/>
      <c r="C51" s="37">
        <f>SUM(C44:C50)</f>
        <v>1816825</v>
      </c>
      <c r="D51" s="43">
        <f>SUM(D44:D50)</f>
        <v>1804525</v>
      </c>
    </row>
    <row r="52" spans="1:6" ht="24.6" customHeight="1" x14ac:dyDescent="0.3">
      <c r="A52" s="9" t="s">
        <v>41</v>
      </c>
      <c r="B52" s="20"/>
      <c r="C52" s="22"/>
      <c r="D52" s="23"/>
    </row>
    <row r="53" spans="1:6" ht="24.6" customHeight="1" x14ac:dyDescent="0.3">
      <c r="A53" s="11" t="s">
        <v>34</v>
      </c>
      <c r="B53" s="50"/>
      <c r="C53" s="51"/>
      <c r="D53" s="50"/>
    </row>
    <row r="54" spans="1:6" ht="24.6" customHeight="1" x14ac:dyDescent="0.3">
      <c r="A54" s="9" t="s">
        <v>49</v>
      </c>
      <c r="B54" s="20">
        <v>18</v>
      </c>
      <c r="C54" s="22">
        <v>215865</v>
      </c>
      <c r="D54" s="23">
        <v>434485</v>
      </c>
      <c r="F54" s="17"/>
    </row>
    <row r="55" spans="1:6" ht="24.6" customHeight="1" x14ac:dyDescent="0.3">
      <c r="A55" s="11" t="s">
        <v>35</v>
      </c>
      <c r="B55" s="13">
        <v>36</v>
      </c>
      <c r="C55" s="16">
        <v>92407</v>
      </c>
      <c r="D55" s="14">
        <v>96597</v>
      </c>
    </row>
    <row r="56" spans="1:6" ht="24.6" customHeight="1" x14ac:dyDescent="0.3">
      <c r="A56" s="9" t="s">
        <v>22</v>
      </c>
      <c r="B56" s="20">
        <v>10</v>
      </c>
      <c r="C56" s="22">
        <v>1918</v>
      </c>
      <c r="D56" s="24">
        <v>1921</v>
      </c>
    </row>
    <row r="57" spans="1:6" ht="24.6" customHeight="1" x14ac:dyDescent="0.3">
      <c r="A57" s="11" t="s">
        <v>50</v>
      </c>
      <c r="B57" s="13">
        <v>22</v>
      </c>
      <c r="C57" s="16">
        <v>450152</v>
      </c>
      <c r="D57" s="14">
        <v>381537</v>
      </c>
    </row>
    <row r="58" spans="1:6" ht="24.6" customHeight="1" x14ac:dyDescent="0.3">
      <c r="A58" s="9" t="s">
        <v>36</v>
      </c>
      <c r="B58" s="20">
        <v>19</v>
      </c>
      <c r="C58" s="22">
        <v>408659</v>
      </c>
      <c r="D58" s="23">
        <v>333024</v>
      </c>
    </row>
    <row r="59" spans="1:6" ht="24.6" customHeight="1" x14ac:dyDescent="0.3">
      <c r="A59" s="11" t="s">
        <v>37</v>
      </c>
      <c r="B59" s="13">
        <v>24</v>
      </c>
      <c r="C59" s="16">
        <v>109487</v>
      </c>
      <c r="D59" s="14">
        <v>97729</v>
      </c>
    </row>
    <row r="60" spans="1:6" ht="24.6" customHeight="1" x14ac:dyDescent="0.3">
      <c r="A60" s="9" t="s">
        <v>38</v>
      </c>
      <c r="B60" s="20">
        <v>20</v>
      </c>
      <c r="C60" s="22">
        <v>357828</v>
      </c>
      <c r="D60" s="15">
        <v>361552</v>
      </c>
    </row>
    <row r="61" spans="1:6" ht="24.6" customHeight="1" x14ac:dyDescent="0.3">
      <c r="A61" s="11" t="s">
        <v>42</v>
      </c>
      <c r="B61" s="13"/>
      <c r="C61" s="14">
        <v>31400</v>
      </c>
      <c r="D61" s="14">
        <v>20035</v>
      </c>
    </row>
    <row r="62" spans="1:6" ht="24.6" customHeight="1" thickBot="1" x14ac:dyDescent="0.35">
      <c r="A62" s="9" t="s">
        <v>43</v>
      </c>
      <c r="B62" s="20">
        <v>21</v>
      </c>
      <c r="C62" s="23">
        <v>77341</v>
      </c>
      <c r="D62" s="23">
        <v>77522</v>
      </c>
    </row>
    <row r="63" spans="1:6" ht="24.6" customHeight="1" thickBot="1" x14ac:dyDescent="0.35">
      <c r="A63" s="47"/>
      <c r="B63" s="50"/>
      <c r="C63" s="52">
        <f>SUM(C54:C62)</f>
        <v>1745057</v>
      </c>
      <c r="D63" s="52">
        <f>SUM(D54:D62)</f>
        <v>1804402</v>
      </c>
    </row>
    <row r="64" spans="1:6" ht="24.6" customHeight="1" thickBot="1" x14ac:dyDescent="0.35">
      <c r="A64" s="11" t="s">
        <v>44</v>
      </c>
      <c r="B64" s="50"/>
      <c r="C64" s="52">
        <f>C63+C51</f>
        <v>3561882</v>
      </c>
      <c r="D64" s="52">
        <f>D63+D51</f>
        <v>3608927</v>
      </c>
    </row>
    <row r="65" spans="1:4" ht="24.6" customHeight="1" thickBot="1" x14ac:dyDescent="0.35">
      <c r="A65" s="36" t="s">
        <v>45</v>
      </c>
      <c r="B65" s="50"/>
      <c r="C65" s="48">
        <f>C64+C41</f>
        <v>5521516</v>
      </c>
      <c r="D65" s="48">
        <f>D64+D41</f>
        <v>5143604</v>
      </c>
    </row>
    <row r="66" spans="1:4" ht="24.6" customHeight="1" thickTop="1" thickBot="1" x14ac:dyDescent="0.35">
      <c r="A66" s="7"/>
      <c r="B66" s="7"/>
      <c r="C66" s="8"/>
      <c r="D66" s="8"/>
    </row>
    <row r="67" spans="1:4" ht="24.6" customHeight="1" thickBot="1" x14ac:dyDescent="0.35">
      <c r="A67" s="5"/>
      <c r="B67" s="3"/>
      <c r="C67" s="4"/>
      <c r="D67" s="4"/>
    </row>
    <row r="68" spans="1:4" ht="24.6" customHeight="1" thickBot="1" x14ac:dyDescent="0.35">
      <c r="A68" s="3"/>
      <c r="B68" s="3"/>
      <c r="C68" s="4"/>
      <c r="D68" s="4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F5" sqref="F5"/>
    </sheetView>
  </sheetViews>
  <sheetFormatPr defaultRowHeight="23.4" customHeight="1" x14ac:dyDescent="0.3"/>
  <cols>
    <col min="1" max="1" width="76" style="2" customWidth="1"/>
    <col min="2" max="2" width="9.6640625" style="2" customWidth="1"/>
    <col min="3" max="4" width="17.5546875" style="2" customWidth="1"/>
    <col min="5" max="16384" width="8.88671875" style="2"/>
  </cols>
  <sheetData>
    <row r="1" spans="1:4" ht="23.4" customHeight="1" x14ac:dyDescent="0.3">
      <c r="A1" s="131" t="s">
        <v>82</v>
      </c>
      <c r="B1" s="131"/>
      <c r="C1" s="131"/>
      <c r="D1" s="131"/>
    </row>
    <row r="2" spans="1:4" ht="23.4" customHeight="1" x14ac:dyDescent="0.3">
      <c r="A2" s="31"/>
      <c r="B2" s="32" t="s">
        <v>8</v>
      </c>
      <c r="C2" s="32" t="s">
        <v>2</v>
      </c>
      <c r="D2" s="32" t="s">
        <v>3</v>
      </c>
    </row>
    <row r="3" spans="1:4" ht="23.4" customHeight="1" x14ac:dyDescent="0.3">
      <c r="A3" s="33" t="s">
        <v>51</v>
      </c>
      <c r="B3" s="53"/>
      <c r="C3" s="53"/>
      <c r="D3" s="53"/>
    </row>
    <row r="4" spans="1:4" ht="23.4" customHeight="1" x14ac:dyDescent="0.3">
      <c r="A4" s="31" t="s">
        <v>52</v>
      </c>
      <c r="B4" s="31">
        <v>24</v>
      </c>
      <c r="C4" s="34">
        <v>2109728</v>
      </c>
      <c r="D4" s="34">
        <v>1729852</v>
      </c>
    </row>
    <row r="5" spans="1:4" ht="23.4" customHeight="1" x14ac:dyDescent="0.3">
      <c r="A5" s="31" t="s">
        <v>53</v>
      </c>
      <c r="B5" s="31">
        <v>25</v>
      </c>
      <c r="C5" s="34">
        <v>28173</v>
      </c>
      <c r="D5" s="34">
        <v>15737</v>
      </c>
    </row>
    <row r="6" spans="1:4" ht="23.4" customHeight="1" thickBot="1" x14ac:dyDescent="0.35">
      <c r="A6" s="31"/>
      <c r="B6" s="31"/>
      <c r="C6" s="39">
        <f>SUM(C4:C5)</f>
        <v>2137901</v>
      </c>
      <c r="D6" s="39">
        <f>SUM(D4:D5)</f>
        <v>1745589</v>
      </c>
    </row>
    <row r="7" spans="1:4" ht="23.4" customHeight="1" thickTop="1" x14ac:dyDescent="0.3">
      <c r="A7" s="33" t="s">
        <v>54</v>
      </c>
      <c r="B7" s="31"/>
      <c r="C7" s="35"/>
      <c r="D7" s="35"/>
    </row>
    <row r="8" spans="1:4" ht="23.4" customHeight="1" x14ac:dyDescent="0.3">
      <c r="A8" s="31" t="s">
        <v>55</v>
      </c>
      <c r="B8" s="31">
        <v>26</v>
      </c>
      <c r="C8" s="34">
        <v>397500</v>
      </c>
      <c r="D8" s="34">
        <v>335043</v>
      </c>
    </row>
    <row r="9" spans="1:4" ht="23.4" customHeight="1" x14ac:dyDescent="0.3">
      <c r="A9" s="31" t="s">
        <v>56</v>
      </c>
      <c r="B9" s="31"/>
      <c r="C9" s="34">
        <v>55416</v>
      </c>
      <c r="D9" s="34">
        <v>71713</v>
      </c>
    </row>
    <row r="10" spans="1:4" ht="23.4" customHeight="1" x14ac:dyDescent="0.3">
      <c r="A10" s="31" t="s">
        <v>57</v>
      </c>
      <c r="B10" s="31"/>
      <c r="C10" s="34">
        <v>153729</v>
      </c>
      <c r="D10" s="34">
        <v>138290</v>
      </c>
    </row>
    <row r="11" spans="1:4" ht="23.4" customHeight="1" x14ac:dyDescent="0.3">
      <c r="A11" s="31" t="s">
        <v>58</v>
      </c>
      <c r="B11" s="31">
        <v>27</v>
      </c>
      <c r="C11" s="34">
        <v>75813</v>
      </c>
      <c r="D11" s="34">
        <v>63089</v>
      </c>
    </row>
    <row r="12" spans="1:4" ht="23.4" customHeight="1" x14ac:dyDescent="0.3">
      <c r="A12" s="31" t="s">
        <v>59</v>
      </c>
      <c r="B12" s="31">
        <v>28</v>
      </c>
      <c r="C12" s="34">
        <v>131073</v>
      </c>
      <c r="D12" s="34">
        <v>114601</v>
      </c>
    </row>
    <row r="13" spans="1:4" ht="23.4" customHeight="1" thickBot="1" x14ac:dyDescent="0.35">
      <c r="A13" s="31" t="s">
        <v>60</v>
      </c>
      <c r="B13" s="31">
        <v>30</v>
      </c>
      <c r="C13" s="42">
        <v>99452</v>
      </c>
      <c r="D13" s="42">
        <v>75524</v>
      </c>
    </row>
    <row r="14" spans="1:4" ht="23.4" customHeight="1" thickBot="1" x14ac:dyDescent="0.35">
      <c r="A14" s="31"/>
      <c r="B14" s="31"/>
      <c r="C14" s="41">
        <f>SUM(C8:C13)</f>
        <v>912983</v>
      </c>
      <c r="D14" s="41">
        <f>SUM(D8:D13)</f>
        <v>798260</v>
      </c>
    </row>
    <row r="15" spans="1:4" ht="29.4" customHeight="1" x14ac:dyDescent="0.3">
      <c r="A15" s="59" t="s">
        <v>83</v>
      </c>
      <c r="B15" s="56"/>
      <c r="C15" s="57">
        <f>C6-C14</f>
        <v>1224918</v>
      </c>
      <c r="D15" s="57">
        <f>D6-D14</f>
        <v>947329</v>
      </c>
    </row>
    <row r="16" spans="1:4" ht="23.4" customHeight="1" x14ac:dyDescent="0.3">
      <c r="A16" s="31" t="s">
        <v>61</v>
      </c>
      <c r="B16" s="31">
        <v>29</v>
      </c>
      <c r="C16" s="34">
        <v>527108</v>
      </c>
      <c r="D16" s="34">
        <v>455703</v>
      </c>
    </row>
    <row r="17" spans="1:4" ht="23.4" customHeight="1" x14ac:dyDescent="0.3">
      <c r="A17" s="31" t="s">
        <v>62</v>
      </c>
      <c r="B17" s="31">
        <v>31</v>
      </c>
      <c r="C17" s="34">
        <v>215553</v>
      </c>
      <c r="D17" s="34">
        <v>217539</v>
      </c>
    </row>
    <row r="18" spans="1:4" ht="23.4" customHeight="1" x14ac:dyDescent="0.3">
      <c r="A18" s="31" t="s">
        <v>63</v>
      </c>
      <c r="B18" s="31">
        <v>7</v>
      </c>
      <c r="C18" s="34">
        <v>-3645</v>
      </c>
      <c r="D18" s="34">
        <v>-37030</v>
      </c>
    </row>
    <row r="19" spans="1:4" ht="23.4" customHeight="1" x14ac:dyDescent="0.3">
      <c r="A19" s="60" t="s">
        <v>64</v>
      </c>
      <c r="B19" s="56"/>
      <c r="C19" s="58">
        <f>C15-(C16+C17+C18)</f>
        <v>485902</v>
      </c>
      <c r="D19" s="58">
        <f>D15-(D16+D17+D18)</f>
        <v>311117</v>
      </c>
    </row>
    <row r="20" spans="1:4" ht="23.4" customHeight="1" x14ac:dyDescent="0.3">
      <c r="A20" s="31" t="s">
        <v>65</v>
      </c>
      <c r="B20" s="31">
        <v>32</v>
      </c>
      <c r="C20" s="34">
        <v>34175</v>
      </c>
      <c r="D20" s="34">
        <v>-72868</v>
      </c>
    </row>
    <row r="21" spans="1:4" ht="23.4" customHeight="1" x14ac:dyDescent="0.3">
      <c r="A21" s="60" t="s">
        <v>66</v>
      </c>
      <c r="B21" s="60"/>
      <c r="C21" s="58">
        <f>C19-C20</f>
        <v>451727</v>
      </c>
      <c r="D21" s="58">
        <f>D19-D20</f>
        <v>383985</v>
      </c>
    </row>
    <row r="22" spans="1:4" ht="23.4" customHeight="1" x14ac:dyDescent="0.3">
      <c r="A22" s="31" t="s">
        <v>67</v>
      </c>
      <c r="B22" s="31"/>
      <c r="C22" s="31"/>
      <c r="D22" s="31"/>
    </row>
    <row r="23" spans="1:4" ht="23.4" customHeight="1" x14ac:dyDescent="0.3">
      <c r="A23" s="31" t="s">
        <v>68</v>
      </c>
      <c r="B23" s="31">
        <v>12</v>
      </c>
      <c r="C23" s="34">
        <v>78812</v>
      </c>
      <c r="D23" s="34">
        <v>41121</v>
      </c>
    </row>
    <row r="24" spans="1:4" ht="23.4" customHeight="1" thickBot="1" x14ac:dyDescent="0.35">
      <c r="A24" s="31" t="s">
        <v>69</v>
      </c>
      <c r="B24" s="31">
        <v>12</v>
      </c>
      <c r="C24" s="42">
        <v>34687</v>
      </c>
      <c r="D24" s="42">
        <v>-31949</v>
      </c>
    </row>
    <row r="25" spans="1:4" ht="23.4" customHeight="1" thickBot="1" x14ac:dyDescent="0.35">
      <c r="A25" s="31"/>
      <c r="B25" s="31"/>
      <c r="C25" s="63">
        <f>SUM(C23:C24)</f>
        <v>113499</v>
      </c>
      <c r="D25" s="63">
        <v>9172</v>
      </c>
    </row>
    <row r="26" spans="1:4" ht="23.4" customHeight="1" thickBot="1" x14ac:dyDescent="0.35">
      <c r="A26" s="60" t="s">
        <v>70</v>
      </c>
      <c r="B26" s="60"/>
      <c r="C26" s="62">
        <f>C21-C25</f>
        <v>338228</v>
      </c>
      <c r="D26" s="62">
        <f>D21-D25</f>
        <v>374813</v>
      </c>
    </row>
    <row r="27" spans="1:4" ht="23.4" customHeight="1" thickTop="1" x14ac:dyDescent="0.3">
      <c r="A27" s="60"/>
      <c r="B27" s="60"/>
      <c r="C27" s="64"/>
      <c r="D27" s="64"/>
    </row>
    <row r="28" spans="1:4" ht="23.4" customHeight="1" x14ac:dyDescent="0.3">
      <c r="A28" s="33" t="s">
        <v>71</v>
      </c>
      <c r="B28" s="31"/>
      <c r="C28" s="31"/>
      <c r="D28" s="31"/>
    </row>
    <row r="29" spans="1:4" ht="23.4" customHeight="1" x14ac:dyDescent="0.3">
      <c r="A29" s="54" t="s">
        <v>72</v>
      </c>
      <c r="B29" s="31"/>
      <c r="C29" s="6"/>
      <c r="D29" s="34"/>
    </row>
    <row r="30" spans="1:4" ht="23.4" customHeight="1" x14ac:dyDescent="0.3">
      <c r="A30" s="31" t="s">
        <v>84</v>
      </c>
      <c r="B30" s="31"/>
      <c r="C30" s="34">
        <v>51798</v>
      </c>
      <c r="D30" s="34">
        <v>26626</v>
      </c>
    </row>
    <row r="31" spans="1:4" ht="23.4" customHeight="1" x14ac:dyDescent="0.3">
      <c r="A31" s="31" t="s">
        <v>85</v>
      </c>
      <c r="B31" s="31"/>
      <c r="C31" s="31">
        <v>47</v>
      </c>
      <c r="D31" s="34">
        <v>-2946</v>
      </c>
    </row>
    <row r="32" spans="1:4" ht="23.4" customHeight="1" thickBot="1" x14ac:dyDescent="0.35">
      <c r="A32" s="31" t="s">
        <v>86</v>
      </c>
      <c r="B32" s="31">
        <v>12</v>
      </c>
      <c r="C32" s="31">
        <v>-27</v>
      </c>
      <c r="D32" s="31">
        <v>832</v>
      </c>
    </row>
    <row r="33" spans="1:4" ht="23.4" customHeight="1" thickBot="1" x14ac:dyDescent="0.35">
      <c r="A33" s="31"/>
      <c r="B33" s="31"/>
      <c r="C33" s="63">
        <f>SUM(C30:C32)</f>
        <v>51818</v>
      </c>
      <c r="D33" s="63">
        <f>SUM(D30:D32)</f>
        <v>24512</v>
      </c>
    </row>
    <row r="34" spans="1:4" ht="23.4" customHeight="1" x14ac:dyDescent="0.3">
      <c r="A34" s="54" t="s">
        <v>73</v>
      </c>
      <c r="B34" s="31"/>
      <c r="C34" s="31"/>
      <c r="D34" s="31"/>
    </row>
    <row r="35" spans="1:4" ht="23.4" customHeight="1" x14ac:dyDescent="0.3">
      <c r="A35" s="31" t="s">
        <v>74</v>
      </c>
      <c r="B35" s="31"/>
      <c r="C35" s="34">
        <v>4763</v>
      </c>
      <c r="D35" s="34">
        <v>1338</v>
      </c>
    </row>
    <row r="36" spans="1:4" ht="23.4" customHeight="1" x14ac:dyDescent="0.3">
      <c r="A36" s="31" t="s">
        <v>87</v>
      </c>
      <c r="B36" s="31">
        <v>27.2</v>
      </c>
      <c r="C36" s="31">
        <v>81</v>
      </c>
      <c r="D36" s="31">
        <v>-167</v>
      </c>
    </row>
    <row r="37" spans="1:4" ht="23.4" customHeight="1" x14ac:dyDescent="0.3">
      <c r="A37" s="31" t="s">
        <v>86</v>
      </c>
      <c r="B37" s="31">
        <v>12</v>
      </c>
      <c r="C37" s="31">
        <v>-893</v>
      </c>
      <c r="D37" s="31">
        <v>36</v>
      </c>
    </row>
    <row r="38" spans="1:4" ht="23.4" customHeight="1" thickBot="1" x14ac:dyDescent="0.35">
      <c r="A38" s="31" t="s">
        <v>88</v>
      </c>
      <c r="B38" s="31">
        <v>7</v>
      </c>
      <c r="C38" s="31">
        <v>-21</v>
      </c>
      <c r="D38" s="31">
        <v>-25</v>
      </c>
    </row>
    <row r="39" spans="1:4" ht="23.4" customHeight="1" thickBot="1" x14ac:dyDescent="0.35">
      <c r="A39" s="31"/>
      <c r="B39" s="31"/>
      <c r="C39" s="63">
        <f>SUM(C35:C38)</f>
        <v>3930</v>
      </c>
      <c r="D39" s="63">
        <f>SUM(D35:D38)</f>
        <v>1182</v>
      </c>
    </row>
    <row r="40" spans="1:4" ht="23.4" customHeight="1" thickBot="1" x14ac:dyDescent="0.35">
      <c r="A40" s="60" t="s">
        <v>75</v>
      </c>
      <c r="B40" s="60"/>
      <c r="C40" s="62">
        <f>C39+C33</f>
        <v>55748</v>
      </c>
      <c r="D40" s="62">
        <f>D39+D33</f>
        <v>25694</v>
      </c>
    </row>
    <row r="41" spans="1:4" ht="23.4" customHeight="1" thickTop="1" thickBot="1" x14ac:dyDescent="0.35">
      <c r="A41" s="60" t="s">
        <v>76</v>
      </c>
      <c r="B41" s="60"/>
      <c r="C41" s="66">
        <f>C40+C26</f>
        <v>393976</v>
      </c>
      <c r="D41" s="66">
        <f>D40+D26</f>
        <v>400507</v>
      </c>
    </row>
    <row r="42" spans="1:4" ht="23.4" customHeight="1" thickTop="1" x14ac:dyDescent="0.3">
      <c r="A42" s="67" t="s">
        <v>77</v>
      </c>
      <c r="B42" s="31"/>
      <c r="C42" s="35">
        <f>C26</f>
        <v>338228</v>
      </c>
      <c r="D42" s="35">
        <f>D26</f>
        <v>374813</v>
      </c>
    </row>
    <row r="43" spans="1:4" ht="23.4" customHeight="1" x14ac:dyDescent="0.3">
      <c r="A43" s="31" t="s">
        <v>78</v>
      </c>
      <c r="B43" s="31"/>
      <c r="C43" s="34">
        <v>266952</v>
      </c>
      <c r="D43" s="34">
        <v>335561</v>
      </c>
    </row>
    <row r="44" spans="1:4" ht="23.4" customHeight="1" x14ac:dyDescent="0.3">
      <c r="A44" s="31" t="s">
        <v>79</v>
      </c>
      <c r="B44" s="31"/>
      <c r="C44" s="34">
        <v>71276</v>
      </c>
      <c r="D44" s="34">
        <v>39252</v>
      </c>
    </row>
    <row r="45" spans="1:4" ht="23.4" customHeight="1" x14ac:dyDescent="0.3">
      <c r="A45" s="67" t="s">
        <v>80</v>
      </c>
      <c r="B45" s="31"/>
      <c r="C45" s="34">
        <f>C40</f>
        <v>55748</v>
      </c>
      <c r="D45" s="34">
        <f>D40</f>
        <v>25694</v>
      </c>
    </row>
    <row r="46" spans="1:4" ht="23.4" customHeight="1" x14ac:dyDescent="0.3">
      <c r="A46" s="31" t="s">
        <v>78</v>
      </c>
      <c r="B46" s="31"/>
      <c r="C46" s="34">
        <v>29236</v>
      </c>
      <c r="D46" s="34">
        <v>8913</v>
      </c>
    </row>
    <row r="47" spans="1:4" ht="23.4" customHeight="1" x14ac:dyDescent="0.3">
      <c r="A47" s="31" t="s">
        <v>79</v>
      </c>
      <c r="B47" s="31"/>
      <c r="C47" s="34">
        <v>26512</v>
      </c>
      <c r="D47" s="34">
        <v>16781</v>
      </c>
    </row>
    <row r="48" spans="1:4" ht="23.4" customHeight="1" x14ac:dyDescent="0.3">
      <c r="A48" s="67" t="s">
        <v>81</v>
      </c>
      <c r="B48" s="31"/>
      <c r="C48" s="34">
        <f>C41</f>
        <v>393976</v>
      </c>
      <c r="D48" s="34">
        <f>D41</f>
        <v>400507</v>
      </c>
    </row>
    <row r="49" spans="1:4" ht="23.4" customHeight="1" x14ac:dyDescent="0.3">
      <c r="A49" s="31" t="s">
        <v>78</v>
      </c>
      <c r="B49" s="31"/>
      <c r="C49" s="34">
        <v>296188</v>
      </c>
      <c r="D49" s="34">
        <v>344474</v>
      </c>
    </row>
    <row r="50" spans="1:4" ht="23.4" customHeight="1" x14ac:dyDescent="0.3">
      <c r="A50" s="31" t="s">
        <v>79</v>
      </c>
      <c r="B50" s="31"/>
      <c r="C50" s="34">
        <v>97788</v>
      </c>
      <c r="D50" s="34">
        <v>56033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selection activeCell="E6" sqref="E6"/>
    </sheetView>
  </sheetViews>
  <sheetFormatPr defaultRowHeight="25.2" customHeight="1" x14ac:dyDescent="0.3"/>
  <cols>
    <col min="1" max="1" width="61" style="79" customWidth="1"/>
    <col min="2" max="3" width="17.109375" style="79" customWidth="1"/>
    <col min="4" max="4" width="8.88671875" style="79" customWidth="1"/>
    <col min="5" max="16384" width="8.88671875" style="79"/>
  </cols>
  <sheetData>
    <row r="1" spans="1:4" ht="25.2" customHeight="1" x14ac:dyDescent="0.3">
      <c r="A1" s="132" t="s">
        <v>139</v>
      </c>
      <c r="B1" s="133"/>
      <c r="C1" s="134"/>
      <c r="D1" s="78"/>
    </row>
    <row r="2" spans="1:4" ht="25.2" customHeight="1" x14ac:dyDescent="0.3">
      <c r="A2" s="68"/>
      <c r="B2" s="60" t="s">
        <v>2</v>
      </c>
      <c r="C2" s="81" t="s">
        <v>3</v>
      </c>
    </row>
    <row r="3" spans="1:4" ht="25.2" customHeight="1" x14ac:dyDescent="0.3">
      <c r="A3" s="75" t="s">
        <v>89</v>
      </c>
      <c r="B3" s="95"/>
      <c r="C3" s="96"/>
    </row>
    <row r="4" spans="1:4" ht="25.2" customHeight="1" x14ac:dyDescent="0.3">
      <c r="A4" s="70" t="s">
        <v>66</v>
      </c>
      <c r="B4" s="71">
        <v>451727</v>
      </c>
      <c r="C4" s="72">
        <v>383985</v>
      </c>
      <c r="D4" s="80"/>
    </row>
    <row r="5" spans="1:4" ht="25.2" customHeight="1" x14ac:dyDescent="0.3">
      <c r="A5" s="68" t="s">
        <v>140</v>
      </c>
      <c r="B5" s="31"/>
      <c r="C5" s="69"/>
    </row>
    <row r="6" spans="1:4" ht="25.2" customHeight="1" x14ac:dyDescent="0.3">
      <c r="A6" s="70" t="s">
        <v>61</v>
      </c>
      <c r="B6" s="71">
        <v>527108</v>
      </c>
      <c r="C6" s="72">
        <v>455703</v>
      </c>
    </row>
    <row r="7" spans="1:4" ht="25.2" customHeight="1" x14ac:dyDescent="0.3">
      <c r="A7" s="68" t="s">
        <v>62</v>
      </c>
      <c r="B7" s="34">
        <v>214485</v>
      </c>
      <c r="C7" s="73">
        <v>216258</v>
      </c>
    </row>
    <row r="8" spans="1:4" ht="25.2" customHeight="1" x14ac:dyDescent="0.3">
      <c r="A8" s="70" t="s">
        <v>90</v>
      </c>
      <c r="B8" s="65">
        <v>-272</v>
      </c>
      <c r="C8" s="74">
        <v>0</v>
      </c>
    </row>
    <row r="9" spans="1:4" ht="25.2" customHeight="1" x14ac:dyDescent="0.3">
      <c r="A9" s="68" t="s">
        <v>91</v>
      </c>
      <c r="B9" s="34">
        <v>-3369</v>
      </c>
      <c r="C9" s="73">
        <v>-2048</v>
      </c>
    </row>
    <row r="10" spans="1:4" ht="25.2" customHeight="1" x14ac:dyDescent="0.3">
      <c r="A10" s="70" t="s">
        <v>92</v>
      </c>
      <c r="B10" s="71">
        <v>-11158</v>
      </c>
      <c r="C10" s="72">
        <v>-5306</v>
      </c>
    </row>
    <row r="11" spans="1:4" ht="25.2" customHeight="1" x14ac:dyDescent="0.3">
      <c r="A11" s="68" t="s">
        <v>93</v>
      </c>
      <c r="B11" s="34">
        <v>-2017</v>
      </c>
      <c r="C11" s="69">
        <v>420</v>
      </c>
    </row>
    <row r="12" spans="1:4" ht="25.2" customHeight="1" x14ac:dyDescent="0.3">
      <c r="A12" s="70" t="s">
        <v>63</v>
      </c>
      <c r="B12" s="71">
        <v>-3645</v>
      </c>
      <c r="C12" s="72">
        <v>-37030</v>
      </c>
    </row>
    <row r="13" spans="1:4" ht="25.2" customHeight="1" x14ac:dyDescent="0.3">
      <c r="A13" s="68" t="s">
        <v>65</v>
      </c>
      <c r="B13" s="34">
        <v>34175</v>
      </c>
      <c r="C13" s="73">
        <v>-72868</v>
      </c>
    </row>
    <row r="14" spans="1:4" ht="25.2" customHeight="1" x14ac:dyDescent="0.3">
      <c r="A14" s="70" t="s">
        <v>94</v>
      </c>
      <c r="B14" s="71">
        <v>3157</v>
      </c>
      <c r="C14" s="72">
        <v>1669</v>
      </c>
    </row>
    <row r="15" spans="1:4" ht="25.2" customHeight="1" x14ac:dyDescent="0.3">
      <c r="A15" s="68" t="s">
        <v>95</v>
      </c>
      <c r="B15" s="34">
        <v>-2985</v>
      </c>
      <c r="C15" s="73">
        <v>-1031</v>
      </c>
    </row>
    <row r="16" spans="1:4" ht="25.2" customHeight="1" x14ac:dyDescent="0.3">
      <c r="A16" s="70" t="s">
        <v>96</v>
      </c>
      <c r="B16" s="71">
        <v>3586</v>
      </c>
      <c r="C16" s="72">
        <v>3741</v>
      </c>
    </row>
    <row r="17" spans="1:5" ht="25.2" customHeight="1" thickBot="1" x14ac:dyDescent="0.35">
      <c r="A17" s="68" t="s">
        <v>97</v>
      </c>
      <c r="B17" s="42">
        <v>2301</v>
      </c>
      <c r="C17" s="83">
        <v>396</v>
      </c>
    </row>
    <row r="18" spans="1:5" ht="25.2" customHeight="1" thickBot="1" x14ac:dyDescent="0.35">
      <c r="A18" s="77" t="s">
        <v>98</v>
      </c>
      <c r="B18" s="41">
        <f>SUM(B4:B17)</f>
        <v>1213093</v>
      </c>
      <c r="C18" s="41">
        <f>SUM(C4:C17)</f>
        <v>943889</v>
      </c>
    </row>
    <row r="19" spans="1:5" ht="25.2" customHeight="1" x14ac:dyDescent="0.3">
      <c r="A19" s="68" t="s">
        <v>99</v>
      </c>
      <c r="B19" s="61"/>
      <c r="C19" s="82"/>
    </row>
    <row r="20" spans="1:5" ht="25.2" customHeight="1" x14ac:dyDescent="0.3">
      <c r="A20" s="70" t="s">
        <v>16</v>
      </c>
      <c r="B20" s="71">
        <v>-5654</v>
      </c>
      <c r="C20" s="72">
        <v>29658</v>
      </c>
    </row>
    <row r="21" spans="1:5" ht="25.2" customHeight="1" x14ac:dyDescent="0.3">
      <c r="A21" s="68" t="s">
        <v>50</v>
      </c>
      <c r="B21" s="34">
        <v>24977</v>
      </c>
      <c r="C21" s="73">
        <v>8586</v>
      </c>
    </row>
    <row r="22" spans="1:5" ht="25.2" customHeight="1" x14ac:dyDescent="0.3">
      <c r="A22" s="70" t="s">
        <v>21</v>
      </c>
      <c r="B22" s="71">
        <v>-1982</v>
      </c>
      <c r="C22" s="72">
        <v>-1416</v>
      </c>
    </row>
    <row r="23" spans="1:5" ht="25.2" customHeight="1" x14ac:dyDescent="0.3">
      <c r="A23" s="68" t="s">
        <v>38</v>
      </c>
      <c r="B23" s="34">
        <v>18276</v>
      </c>
      <c r="C23" s="73">
        <v>22699</v>
      </c>
    </row>
    <row r="24" spans="1:5" ht="25.2" customHeight="1" x14ac:dyDescent="0.3">
      <c r="A24" s="70" t="s">
        <v>100</v>
      </c>
      <c r="B24" s="71">
        <v>33760</v>
      </c>
      <c r="C24" s="72">
        <v>48154</v>
      </c>
    </row>
    <row r="25" spans="1:5" ht="25.2" customHeight="1" thickBot="1" x14ac:dyDescent="0.35">
      <c r="A25" s="68" t="s">
        <v>101</v>
      </c>
      <c r="B25" s="34">
        <v>2665</v>
      </c>
      <c r="C25" s="73">
        <v>-23868</v>
      </c>
    </row>
    <row r="26" spans="1:5" ht="25.2" customHeight="1" thickBot="1" x14ac:dyDescent="0.35">
      <c r="A26" s="77" t="s">
        <v>102</v>
      </c>
      <c r="B26" s="63">
        <f>SUM(B18:B25)</f>
        <v>1285135</v>
      </c>
      <c r="C26" s="63">
        <f>SUM(C18:C25)</f>
        <v>1027702</v>
      </c>
    </row>
    <row r="27" spans="1:5" ht="25.2" customHeight="1" x14ac:dyDescent="0.3">
      <c r="A27" s="68" t="s">
        <v>103</v>
      </c>
      <c r="B27" s="87">
        <v>-62839</v>
      </c>
      <c r="C27" s="88">
        <v>-44380</v>
      </c>
    </row>
    <row r="28" spans="1:5" ht="25.2" customHeight="1" thickBot="1" x14ac:dyDescent="0.35">
      <c r="A28" s="85" t="s">
        <v>104</v>
      </c>
      <c r="B28" s="39">
        <f>SUM(B26:B27)</f>
        <v>1222296</v>
      </c>
      <c r="C28" s="39">
        <f>SUM(C26:C27)</f>
        <v>983322</v>
      </c>
    </row>
    <row r="29" spans="1:5" ht="25.2" customHeight="1" thickTop="1" x14ac:dyDescent="0.3">
      <c r="A29" s="85"/>
      <c r="B29" s="64"/>
      <c r="C29" s="57"/>
    </row>
    <row r="30" spans="1:5" ht="25.2" customHeight="1" x14ac:dyDescent="0.3">
      <c r="A30" s="75" t="s">
        <v>105</v>
      </c>
      <c r="B30" s="75"/>
      <c r="C30" s="33"/>
      <c r="D30" s="86"/>
      <c r="E30" s="86"/>
    </row>
    <row r="31" spans="1:5" ht="25.2" customHeight="1" x14ac:dyDescent="0.3">
      <c r="A31" s="68" t="s">
        <v>106</v>
      </c>
      <c r="B31" s="34">
        <v>-451756</v>
      </c>
      <c r="C31" s="34">
        <v>-379077</v>
      </c>
      <c r="D31" s="86"/>
      <c r="E31" s="86"/>
    </row>
    <row r="32" spans="1:5" ht="25.2" customHeight="1" x14ac:dyDescent="0.3">
      <c r="A32" s="70" t="s">
        <v>107</v>
      </c>
      <c r="B32" s="71">
        <v>11680</v>
      </c>
      <c r="C32" s="35">
        <v>3382</v>
      </c>
    </row>
    <row r="33" spans="1:6" ht="25.2" customHeight="1" x14ac:dyDescent="0.3">
      <c r="A33" s="68" t="s">
        <v>108</v>
      </c>
      <c r="B33" s="34">
        <v>-15386</v>
      </c>
      <c r="C33" s="73">
        <v>-17722</v>
      </c>
    </row>
    <row r="34" spans="1:6" ht="25.2" customHeight="1" x14ac:dyDescent="0.3">
      <c r="A34" s="68" t="s">
        <v>109</v>
      </c>
      <c r="B34" s="34">
        <v>-8546</v>
      </c>
      <c r="C34" s="73">
        <v>-213487</v>
      </c>
    </row>
    <row r="35" spans="1:6" ht="25.2" customHeight="1" x14ac:dyDescent="0.3">
      <c r="A35" s="68" t="s">
        <v>110</v>
      </c>
      <c r="B35" s="34">
        <v>-126994</v>
      </c>
      <c r="C35" s="73">
        <v>7100</v>
      </c>
    </row>
    <row r="36" spans="1:6" ht="25.2" customHeight="1" x14ac:dyDescent="0.3">
      <c r="A36" s="70" t="s">
        <v>111</v>
      </c>
      <c r="B36" s="71">
        <v>-1241</v>
      </c>
      <c r="C36" s="74">
        <v>-734</v>
      </c>
    </row>
    <row r="37" spans="1:6" ht="25.2" customHeight="1" x14ac:dyDescent="0.3">
      <c r="A37" s="68" t="s">
        <v>112</v>
      </c>
      <c r="B37" s="31">
        <v>90</v>
      </c>
      <c r="C37" s="69">
        <v>300</v>
      </c>
    </row>
    <row r="38" spans="1:6" ht="25.2" customHeight="1" x14ac:dyDescent="0.3">
      <c r="A38" s="70" t="s">
        <v>113</v>
      </c>
      <c r="B38" s="65">
        <v>0</v>
      </c>
      <c r="C38" s="74">
        <v>-69</v>
      </c>
    </row>
    <row r="39" spans="1:6" ht="25.2" customHeight="1" x14ac:dyDescent="0.3">
      <c r="A39" s="68" t="s">
        <v>114</v>
      </c>
      <c r="B39" s="31">
        <v>0</v>
      </c>
      <c r="C39" s="73">
        <v>1023</v>
      </c>
    </row>
    <row r="40" spans="1:6" ht="25.2" customHeight="1" x14ac:dyDescent="0.3">
      <c r="A40" s="70" t="s">
        <v>115</v>
      </c>
      <c r="B40" s="65">
        <v>0</v>
      </c>
      <c r="C40" s="72">
        <v>-8788</v>
      </c>
    </row>
    <row r="41" spans="1:6" ht="25.2" customHeight="1" x14ac:dyDescent="0.3">
      <c r="A41" s="68" t="s">
        <v>116</v>
      </c>
      <c r="B41" s="31">
        <v>0</v>
      </c>
      <c r="C41" s="69">
        <v>45</v>
      </c>
    </row>
    <row r="42" spans="1:6" ht="25.2" customHeight="1" x14ac:dyDescent="0.3">
      <c r="A42" s="70" t="s">
        <v>117</v>
      </c>
      <c r="B42" s="71">
        <v>1813</v>
      </c>
      <c r="C42" s="72">
        <v>1090</v>
      </c>
    </row>
    <row r="43" spans="1:6" ht="25.2" customHeight="1" x14ac:dyDescent="0.3">
      <c r="A43" s="68" t="s">
        <v>118</v>
      </c>
      <c r="B43" s="34">
        <v>4088</v>
      </c>
      <c r="C43" s="73">
        <v>4239</v>
      </c>
    </row>
    <row r="44" spans="1:6" ht="25.2" customHeight="1" x14ac:dyDescent="0.3">
      <c r="A44" s="70" t="s">
        <v>119</v>
      </c>
      <c r="B44" s="65">
        <v>907</v>
      </c>
      <c r="C44" s="74">
        <v>0</v>
      </c>
    </row>
    <row r="45" spans="1:6" ht="25.2" customHeight="1" thickBot="1" x14ac:dyDescent="0.35">
      <c r="A45" s="85" t="s">
        <v>120</v>
      </c>
      <c r="B45" s="39">
        <f>SUM(B31:B44)</f>
        <v>-585345</v>
      </c>
      <c r="C45" s="39">
        <f>SUM(C31:C44)</f>
        <v>-602698</v>
      </c>
    </row>
    <row r="46" spans="1:6" ht="25.2" customHeight="1" thickTop="1" x14ac:dyDescent="0.3">
      <c r="A46" s="68"/>
      <c r="B46" s="71"/>
      <c r="C46" s="72"/>
      <c r="F46" s="86"/>
    </row>
    <row r="47" spans="1:6" ht="25.2" customHeight="1" x14ac:dyDescent="0.3">
      <c r="A47" s="75" t="s">
        <v>121</v>
      </c>
      <c r="B47" s="33"/>
      <c r="C47" s="69"/>
    </row>
    <row r="48" spans="1:6" ht="25.2" customHeight="1" x14ac:dyDescent="0.3">
      <c r="A48" s="68" t="s">
        <v>141</v>
      </c>
      <c r="B48" s="35">
        <v>156949</v>
      </c>
      <c r="C48" s="82">
        <v>0</v>
      </c>
    </row>
    <row r="49" spans="1:3" ht="25.2" customHeight="1" x14ac:dyDescent="0.3">
      <c r="A49" s="70" t="s">
        <v>122</v>
      </c>
      <c r="B49" s="71">
        <v>140131</v>
      </c>
      <c r="C49" s="72">
        <v>235597</v>
      </c>
    </row>
    <row r="50" spans="1:3" ht="25.2" customHeight="1" x14ac:dyDescent="0.3">
      <c r="A50" s="68" t="s">
        <v>123</v>
      </c>
      <c r="B50" s="34">
        <v>-420773</v>
      </c>
      <c r="C50" s="73">
        <v>-178594</v>
      </c>
    </row>
    <row r="51" spans="1:3" ht="25.2" customHeight="1" x14ac:dyDescent="0.3">
      <c r="A51" s="89" t="s">
        <v>124</v>
      </c>
      <c r="B51" s="35">
        <v>-67197</v>
      </c>
      <c r="C51" s="90">
        <v>-71538</v>
      </c>
    </row>
    <row r="52" spans="1:3" ht="25.2" customHeight="1" x14ac:dyDescent="0.3">
      <c r="A52" s="68" t="s">
        <v>125</v>
      </c>
      <c r="B52" s="34">
        <v>-44087</v>
      </c>
      <c r="C52" s="73">
        <v>36927</v>
      </c>
    </row>
    <row r="53" spans="1:3" ht="25.2" customHeight="1" x14ac:dyDescent="0.3">
      <c r="A53" s="70" t="s">
        <v>126</v>
      </c>
      <c r="B53" s="71">
        <v>-1467</v>
      </c>
      <c r="C53" s="72">
        <v>-3675</v>
      </c>
    </row>
    <row r="54" spans="1:3" ht="25.2" customHeight="1" x14ac:dyDescent="0.3">
      <c r="A54" s="68" t="s">
        <v>127</v>
      </c>
      <c r="B54" s="34">
        <v>-148876</v>
      </c>
      <c r="C54" s="73">
        <v>-175476</v>
      </c>
    </row>
    <row r="55" spans="1:3" ht="25.2" customHeight="1" x14ac:dyDescent="0.3">
      <c r="A55" s="68" t="s">
        <v>128</v>
      </c>
      <c r="B55" s="31">
        <v>20</v>
      </c>
      <c r="C55" s="69">
        <v>14</v>
      </c>
    </row>
    <row r="56" spans="1:3" ht="25.2" customHeight="1" x14ac:dyDescent="0.3">
      <c r="A56" s="89" t="s">
        <v>129</v>
      </c>
      <c r="B56" s="35">
        <v>-113277</v>
      </c>
      <c r="C56" s="90">
        <v>-69349</v>
      </c>
    </row>
    <row r="57" spans="1:3" ht="25.2" customHeight="1" x14ac:dyDescent="0.3">
      <c r="A57" s="68" t="s">
        <v>130</v>
      </c>
      <c r="B57" s="31">
        <v>75</v>
      </c>
      <c r="C57" s="69">
        <v>0</v>
      </c>
    </row>
    <row r="58" spans="1:3" ht="25.2" customHeight="1" x14ac:dyDescent="0.3">
      <c r="A58" s="70" t="s">
        <v>131</v>
      </c>
      <c r="B58" s="71">
        <v>-5368</v>
      </c>
      <c r="C58" s="72">
        <v>-16427</v>
      </c>
    </row>
    <row r="59" spans="1:3" ht="25.2" customHeight="1" x14ac:dyDescent="0.3">
      <c r="A59" s="68" t="s">
        <v>132</v>
      </c>
      <c r="B59" s="31">
        <v>0</v>
      </c>
      <c r="C59" s="73">
        <v>-86292</v>
      </c>
    </row>
    <row r="60" spans="1:3" ht="25.2" customHeight="1" x14ac:dyDescent="0.3">
      <c r="A60" s="70" t="s">
        <v>133</v>
      </c>
      <c r="B60" s="71">
        <v>-19056</v>
      </c>
      <c r="C60" s="72">
        <v>-37348</v>
      </c>
    </row>
    <row r="61" spans="1:3" ht="25.2" customHeight="1" x14ac:dyDescent="0.3">
      <c r="A61" s="91" t="s">
        <v>134</v>
      </c>
      <c r="B61" s="92">
        <v>0</v>
      </c>
      <c r="C61" s="93">
        <v>829</v>
      </c>
    </row>
    <row r="62" spans="1:3" ht="25.2" customHeight="1" thickBot="1" x14ac:dyDescent="0.35">
      <c r="A62" s="85" t="s">
        <v>135</v>
      </c>
      <c r="B62" s="39">
        <f>SUM(B48:B61)</f>
        <v>-522926</v>
      </c>
      <c r="C62" s="39">
        <f>SUM(C48:C61)</f>
        <v>-365332</v>
      </c>
    </row>
    <row r="63" spans="1:3" ht="25.2" customHeight="1" thickTop="1" x14ac:dyDescent="0.3">
      <c r="A63" s="89" t="s">
        <v>136</v>
      </c>
      <c r="B63" s="35">
        <f>B62+B45+B28</f>
        <v>114025</v>
      </c>
      <c r="C63" s="35">
        <f>C62+C45+C28</f>
        <v>15292</v>
      </c>
    </row>
    <row r="64" spans="1:3" ht="25.2" customHeight="1" x14ac:dyDescent="0.3">
      <c r="A64" s="70" t="s">
        <v>137</v>
      </c>
      <c r="B64" s="71">
        <v>23291</v>
      </c>
      <c r="C64" s="74">
        <v>718</v>
      </c>
    </row>
    <row r="65" spans="1:3" ht="25.2" customHeight="1" thickBot="1" x14ac:dyDescent="0.35">
      <c r="A65" s="68" t="s">
        <v>138</v>
      </c>
      <c r="B65" s="42">
        <v>106531</v>
      </c>
      <c r="C65" s="84">
        <v>90521</v>
      </c>
    </row>
    <row r="66" spans="1:3" ht="25.2" customHeight="1" thickBot="1" x14ac:dyDescent="0.35">
      <c r="A66" s="85" t="s">
        <v>142</v>
      </c>
      <c r="B66" s="62">
        <f>SUM(B63:B65)</f>
        <v>243847</v>
      </c>
      <c r="C66" s="62">
        <f>SUM(C63:C65)</f>
        <v>106531</v>
      </c>
    </row>
    <row r="67" spans="1:3" ht="25.2" customHeight="1" thickTop="1" x14ac:dyDescent="0.3">
      <c r="B67" s="94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workbookViewId="0">
      <selection activeCell="B2" sqref="B2"/>
    </sheetView>
  </sheetViews>
  <sheetFormatPr defaultRowHeight="25.2" customHeight="1" x14ac:dyDescent="0.3"/>
  <cols>
    <col min="1" max="1" width="45.5546875" style="79" customWidth="1"/>
    <col min="2" max="4" width="19.109375" style="2" customWidth="1"/>
    <col min="5" max="5" width="25.109375" style="2" customWidth="1"/>
    <col min="6" max="6" width="22.109375" style="2" customWidth="1"/>
    <col min="7" max="11" width="19.109375" style="2" customWidth="1"/>
    <col min="12" max="12" width="19.109375" style="104" customWidth="1"/>
    <col min="13" max="16384" width="8.88671875" style="2"/>
  </cols>
  <sheetData>
    <row r="1" spans="1:12" ht="25.2" customHeight="1" x14ac:dyDescent="0.3">
      <c r="A1" s="138" t="s">
        <v>164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7"/>
    </row>
    <row r="2" spans="1:12" s="79" customFormat="1" ht="25.2" customHeight="1" x14ac:dyDescent="0.3">
      <c r="A2" s="31"/>
      <c r="B2" s="97" t="s">
        <v>143</v>
      </c>
      <c r="C2" s="97" t="s">
        <v>144</v>
      </c>
      <c r="D2" s="32" t="s">
        <v>145</v>
      </c>
      <c r="E2" s="101" t="s">
        <v>146</v>
      </c>
      <c r="F2" s="101" t="s">
        <v>147</v>
      </c>
      <c r="G2" s="101" t="s">
        <v>148</v>
      </c>
      <c r="H2" s="101" t="s">
        <v>149</v>
      </c>
      <c r="I2" s="101" t="s">
        <v>150</v>
      </c>
      <c r="J2" s="101" t="s">
        <v>151</v>
      </c>
      <c r="K2" s="101" t="s">
        <v>152</v>
      </c>
    </row>
    <row r="3" spans="1:12" s="79" customFormat="1" ht="25.2" customHeight="1" x14ac:dyDescent="0.3">
      <c r="A3" s="61" t="s">
        <v>153</v>
      </c>
      <c r="B3" s="102">
        <v>1103292</v>
      </c>
      <c r="C3" s="102">
        <v>564308</v>
      </c>
      <c r="D3" s="102">
        <v>187403</v>
      </c>
      <c r="E3" s="105">
        <v>146923</v>
      </c>
      <c r="F3" s="95">
        <v>77696</v>
      </c>
      <c r="G3" s="95">
        <v>30107</v>
      </c>
      <c r="H3" s="105">
        <v>0</v>
      </c>
      <c r="I3" s="95">
        <v>0</v>
      </c>
      <c r="J3" s="96">
        <v>0</v>
      </c>
      <c r="K3" s="106">
        <f>SUM(B3:J3)</f>
        <v>2109729</v>
      </c>
    </row>
    <row r="4" spans="1:12" s="79" customFormat="1" ht="25.2" customHeight="1" x14ac:dyDescent="0.3">
      <c r="A4" s="31" t="s">
        <v>154</v>
      </c>
      <c r="B4" s="31">
        <v>26662</v>
      </c>
      <c r="C4" s="34">
        <v>3756</v>
      </c>
      <c r="D4" s="34">
        <v>24363</v>
      </c>
      <c r="E4" s="107">
        <v>180021</v>
      </c>
      <c r="F4" s="108">
        <v>52</v>
      </c>
      <c r="G4" s="108">
        <v>72</v>
      </c>
      <c r="H4" s="109">
        <v>3883</v>
      </c>
      <c r="I4" s="108">
        <v>0</v>
      </c>
      <c r="J4" s="110">
        <v>-238809</v>
      </c>
      <c r="K4" s="106">
        <f>SUM(B4:J4)</f>
        <v>0</v>
      </c>
    </row>
    <row r="5" spans="1:12" s="104" customFormat="1" ht="25.2" customHeight="1" x14ac:dyDescent="0.3">
      <c r="A5" s="60" t="s">
        <v>155</v>
      </c>
      <c r="B5" s="60">
        <f>SUM(B3:B4)</f>
        <v>1129954</v>
      </c>
      <c r="C5" s="60">
        <f t="shared" ref="C5" si="0">SUM(C3:C4)</f>
        <v>568064</v>
      </c>
      <c r="D5" s="60">
        <f>SUM(D3:D4)</f>
        <v>211766</v>
      </c>
      <c r="E5" s="60">
        <f>SUM(E3:E4)</f>
        <v>326944</v>
      </c>
      <c r="F5" s="60">
        <f>SUM(F3:F4)</f>
        <v>77748</v>
      </c>
      <c r="G5" s="60">
        <f>SUM(G3:G4)</f>
        <v>30179</v>
      </c>
      <c r="H5" s="60">
        <f>SUM(H3:H4)</f>
        <v>3883</v>
      </c>
      <c r="I5" s="60">
        <f>SUM(I3:I4)</f>
        <v>0</v>
      </c>
      <c r="J5" s="60">
        <f>SUM(J3:J4)</f>
        <v>-238809</v>
      </c>
      <c r="K5" s="106">
        <f>SUM(B5:J5)</f>
        <v>2109729</v>
      </c>
    </row>
    <row r="6" spans="1:12" s="79" customFormat="1" ht="25.2" customHeight="1" x14ac:dyDescent="0.3">
      <c r="A6" s="31" t="s">
        <v>156</v>
      </c>
      <c r="B6" s="31">
        <v>0</v>
      </c>
      <c r="C6" s="34">
        <v>27</v>
      </c>
      <c r="D6" s="34">
        <v>647</v>
      </c>
      <c r="E6" s="105">
        <v>0</v>
      </c>
      <c r="F6" s="95">
        <v>0</v>
      </c>
      <c r="G6" s="95">
        <v>0</v>
      </c>
      <c r="H6" s="105">
        <v>2971</v>
      </c>
      <c r="I6" s="95">
        <v>0</v>
      </c>
      <c r="J6" s="96">
        <v>0</v>
      </c>
      <c r="K6" s="106">
        <f>SUM(B6:J6)</f>
        <v>3645</v>
      </c>
    </row>
    <row r="7" spans="1:12" s="79" customFormat="1" ht="25.2" customHeight="1" x14ac:dyDescent="0.3">
      <c r="A7" s="31" t="s">
        <v>157</v>
      </c>
      <c r="B7" s="31">
        <v>357661</v>
      </c>
      <c r="C7" s="35">
        <v>187936</v>
      </c>
      <c r="D7" s="35">
        <v>63598</v>
      </c>
      <c r="E7" s="107">
        <v>112273</v>
      </c>
      <c r="F7" s="108">
        <v>12227</v>
      </c>
      <c r="G7" s="108">
        <v>-2056</v>
      </c>
      <c r="H7" s="109">
        <v>3308</v>
      </c>
      <c r="I7" s="108">
        <v>-2161</v>
      </c>
      <c r="J7" s="110">
        <v>-43574</v>
      </c>
      <c r="K7" s="106">
        <f>SUM(B7:J7)</f>
        <v>689212</v>
      </c>
    </row>
    <row r="8" spans="1:12" s="79" customFormat="1" ht="25.2" customHeight="1" x14ac:dyDescent="0.3">
      <c r="A8" s="31" t="s">
        <v>158</v>
      </c>
      <c r="B8" s="31"/>
      <c r="C8" s="34"/>
      <c r="D8" s="34"/>
      <c r="E8" s="111"/>
      <c r="F8" s="95"/>
      <c r="G8" s="112"/>
      <c r="H8" s="111"/>
      <c r="I8" s="112"/>
      <c r="J8" s="113"/>
      <c r="K8" s="106"/>
    </row>
    <row r="9" spans="1:12" s="79" customFormat="1" ht="25.2" customHeight="1" x14ac:dyDescent="0.3">
      <c r="A9" s="31" t="s">
        <v>159</v>
      </c>
      <c r="B9" s="31"/>
      <c r="C9" s="34"/>
      <c r="D9" s="34"/>
      <c r="E9" s="105"/>
      <c r="F9" s="95"/>
      <c r="G9" s="95"/>
      <c r="H9" s="105"/>
      <c r="I9" s="95"/>
      <c r="J9" s="96"/>
      <c r="K9" s="106">
        <v>198739</v>
      </c>
    </row>
    <row r="10" spans="1:12" s="79" customFormat="1" ht="25.2" customHeight="1" x14ac:dyDescent="0.3">
      <c r="A10" s="31" t="s">
        <v>160</v>
      </c>
      <c r="B10" s="31"/>
      <c r="C10" s="34"/>
      <c r="D10" s="34"/>
      <c r="E10" s="109"/>
      <c r="F10" s="108"/>
      <c r="G10" s="108"/>
      <c r="H10" s="109"/>
      <c r="I10" s="108"/>
      <c r="J10" s="110"/>
      <c r="K10" s="106">
        <v>4571</v>
      </c>
    </row>
    <row r="11" spans="1:12" s="79" customFormat="1" ht="25.2" customHeight="1" x14ac:dyDescent="0.3">
      <c r="A11" s="31" t="s">
        <v>65</v>
      </c>
      <c r="B11" s="31"/>
      <c r="C11" s="34"/>
      <c r="D11" s="34"/>
      <c r="E11" s="111"/>
      <c r="F11" s="112"/>
      <c r="G11" s="112"/>
      <c r="H11" s="111"/>
      <c r="I11" s="112"/>
      <c r="J11" s="113"/>
      <c r="K11" s="106">
        <v>34175</v>
      </c>
    </row>
    <row r="12" spans="1:12" s="76" customFormat="1" ht="25.2" customHeight="1" thickBot="1" x14ac:dyDescent="0.35">
      <c r="A12" s="60" t="s">
        <v>66</v>
      </c>
      <c r="B12" s="54"/>
      <c r="C12" s="40"/>
      <c r="D12" s="40"/>
      <c r="E12" s="114"/>
      <c r="F12" s="115"/>
      <c r="G12" s="115"/>
      <c r="H12" s="114"/>
      <c r="I12" s="115"/>
      <c r="J12" s="116"/>
      <c r="K12" s="127">
        <f>K7-(SUM(K9:K11))</f>
        <v>451727</v>
      </c>
    </row>
    <row r="13" spans="1:12" s="76" customFormat="1" ht="25.2" customHeight="1" thickTop="1" x14ac:dyDescent="0.3">
      <c r="A13" s="60" t="s">
        <v>161</v>
      </c>
      <c r="B13" s="54"/>
      <c r="C13" s="103"/>
      <c r="D13" s="103"/>
      <c r="E13" s="117"/>
      <c r="F13" s="118"/>
      <c r="G13" s="118"/>
      <c r="H13" s="117"/>
      <c r="I13" s="118"/>
      <c r="J13" s="119"/>
      <c r="K13" s="126"/>
    </row>
    <row r="14" spans="1:12" s="79" customFormat="1" ht="25.2" customHeight="1" x14ac:dyDescent="0.3">
      <c r="A14" s="31" t="s">
        <v>162</v>
      </c>
      <c r="B14" s="31">
        <v>183351</v>
      </c>
      <c r="C14" s="34">
        <v>82375</v>
      </c>
      <c r="D14" s="34">
        <v>35110</v>
      </c>
      <c r="E14" s="120">
        <v>88263</v>
      </c>
      <c r="F14" s="121">
        <v>68100</v>
      </c>
      <c r="G14" s="121">
        <v>19236</v>
      </c>
      <c r="H14" s="120">
        <v>83</v>
      </c>
      <c r="I14" s="121">
        <v>0</v>
      </c>
      <c r="J14" s="122">
        <v>-1820</v>
      </c>
      <c r="K14" s="106">
        <f>SUM(B14:J14)</f>
        <v>474698</v>
      </c>
    </row>
    <row r="15" spans="1:12" s="79" customFormat="1" ht="25.2" customHeight="1" x14ac:dyDescent="0.3">
      <c r="A15" s="31" t="s">
        <v>163</v>
      </c>
      <c r="B15" s="31">
        <v>52101</v>
      </c>
      <c r="C15" s="35">
        <v>62602</v>
      </c>
      <c r="D15" s="35">
        <v>841</v>
      </c>
      <c r="E15" s="107">
        <v>43557</v>
      </c>
      <c r="F15" s="108">
        <v>1127</v>
      </c>
      <c r="G15" s="108">
        <v>2172</v>
      </c>
      <c r="H15" s="109">
        <v>0</v>
      </c>
      <c r="I15" s="108">
        <v>0</v>
      </c>
      <c r="J15" s="110">
        <v>-42476</v>
      </c>
      <c r="K15" s="106">
        <f>SUM(B15:J15)</f>
        <v>119924</v>
      </c>
    </row>
    <row r="16" spans="1:12" s="79" customFormat="1" ht="25.2" customHeight="1" x14ac:dyDescent="0.3">
      <c r="A16" s="31" t="s">
        <v>61</v>
      </c>
      <c r="B16" s="31">
        <v>322687</v>
      </c>
      <c r="C16" s="34">
        <v>92761</v>
      </c>
      <c r="D16" s="34">
        <v>26551</v>
      </c>
      <c r="E16" s="105">
        <v>71408</v>
      </c>
      <c r="F16" s="95">
        <v>26728</v>
      </c>
      <c r="G16" s="95">
        <v>16376</v>
      </c>
      <c r="H16" s="105">
        <v>65</v>
      </c>
      <c r="I16" s="95">
        <v>1188</v>
      </c>
      <c r="J16" s="96">
        <v>-30656</v>
      </c>
      <c r="K16" s="106">
        <f>SUM(B16:J16)</f>
        <v>527108</v>
      </c>
    </row>
    <row r="17" spans="1:12" s="76" customFormat="1" ht="25.2" customHeight="1" x14ac:dyDescent="0.3">
      <c r="A17" s="60" t="s">
        <v>165</v>
      </c>
      <c r="B17" s="54"/>
      <c r="C17" s="40"/>
      <c r="D17" s="40"/>
      <c r="E17" s="114"/>
      <c r="F17" s="115"/>
      <c r="G17" s="123"/>
      <c r="H17" s="114"/>
      <c r="I17" s="115"/>
      <c r="J17" s="116"/>
      <c r="K17" s="106"/>
    </row>
    <row r="18" spans="1:12" s="79" customFormat="1" ht="25.2" customHeight="1" x14ac:dyDescent="0.3">
      <c r="A18" s="92" t="s">
        <v>166</v>
      </c>
      <c r="B18" s="92">
        <v>2742633</v>
      </c>
      <c r="C18" s="87">
        <v>1280212</v>
      </c>
      <c r="D18" s="87">
        <v>307199</v>
      </c>
      <c r="E18" s="107">
        <v>1051976</v>
      </c>
      <c r="F18" s="108">
        <v>173901</v>
      </c>
      <c r="G18" s="107">
        <v>74551</v>
      </c>
      <c r="H18" s="109">
        <v>37743</v>
      </c>
      <c r="I18" s="108">
        <v>299535</v>
      </c>
      <c r="J18" s="110">
        <v>-446234</v>
      </c>
      <c r="K18" s="106">
        <f>SUM(B18:J18)</f>
        <v>5521516</v>
      </c>
    </row>
    <row r="19" spans="1:12" s="79" customFormat="1" ht="25.2" customHeight="1" x14ac:dyDescent="0.3">
      <c r="A19" s="31" t="s">
        <v>167</v>
      </c>
      <c r="B19" s="31">
        <v>1369224</v>
      </c>
      <c r="C19" s="34">
        <v>754484</v>
      </c>
      <c r="D19" s="34">
        <v>159011</v>
      </c>
      <c r="E19" s="105">
        <v>298356</v>
      </c>
      <c r="F19" s="95">
        <v>79923</v>
      </c>
      <c r="G19" s="124">
        <v>74132</v>
      </c>
      <c r="H19" s="105">
        <v>7119</v>
      </c>
      <c r="I19" s="95">
        <v>1327465</v>
      </c>
      <c r="J19" s="96">
        <v>-507832</v>
      </c>
      <c r="K19" s="106">
        <f>SUM(B19:J19)</f>
        <v>3561882</v>
      </c>
    </row>
    <row r="20" spans="1:12" s="79" customFormat="1" ht="25.2" customHeight="1" x14ac:dyDescent="0.3">
      <c r="A20" s="55" t="s">
        <v>168</v>
      </c>
      <c r="B20" s="31">
        <v>0</v>
      </c>
      <c r="C20" s="34">
        <v>529</v>
      </c>
      <c r="D20" s="34">
        <v>6272</v>
      </c>
      <c r="E20" s="125">
        <v>0</v>
      </c>
      <c r="F20" s="121">
        <v>0</v>
      </c>
      <c r="G20" s="125">
        <v>0</v>
      </c>
      <c r="H20" s="120">
        <v>33821</v>
      </c>
      <c r="I20" s="121">
        <v>0</v>
      </c>
      <c r="J20" s="122">
        <v>0</v>
      </c>
      <c r="K20" s="106">
        <f>SUM(B20:J20)</f>
        <v>40622</v>
      </c>
    </row>
    <row r="21" spans="1:12" ht="25.2" customHeight="1" x14ac:dyDescent="0.3">
      <c r="A21" s="98"/>
      <c r="B21" s="99"/>
      <c r="C21" s="100"/>
      <c r="D21" s="100"/>
      <c r="E21" s="100"/>
    </row>
    <row r="22" spans="1:12" ht="25.2" customHeight="1" x14ac:dyDescent="0.3">
      <c r="A22" s="98"/>
      <c r="B22" s="98"/>
      <c r="C22" s="98"/>
      <c r="D22" s="98"/>
      <c r="E22" s="98"/>
    </row>
    <row r="23" spans="1:12" ht="25.2" customHeight="1" x14ac:dyDescent="0.3">
      <c r="A23" s="135" t="s">
        <v>169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</row>
    <row r="24" spans="1:12" ht="25.2" customHeight="1" x14ac:dyDescent="0.3">
      <c r="A24" s="31"/>
      <c r="B24" s="97" t="s">
        <v>143</v>
      </c>
      <c r="C24" s="97" t="s">
        <v>144</v>
      </c>
      <c r="D24" s="97" t="s">
        <v>170</v>
      </c>
      <c r="E24" s="32" t="s">
        <v>145</v>
      </c>
      <c r="F24" s="101" t="s">
        <v>146</v>
      </c>
      <c r="G24" s="101" t="s">
        <v>147</v>
      </c>
      <c r="H24" s="101" t="s">
        <v>148</v>
      </c>
      <c r="I24" s="101" t="s">
        <v>149</v>
      </c>
      <c r="J24" s="101" t="s">
        <v>150</v>
      </c>
      <c r="K24" s="101" t="s">
        <v>151</v>
      </c>
      <c r="L24" s="101" t="s">
        <v>152</v>
      </c>
    </row>
    <row r="25" spans="1:12" ht="25.2" customHeight="1" x14ac:dyDescent="0.3">
      <c r="A25" s="61" t="s">
        <v>153</v>
      </c>
      <c r="B25" s="102">
        <v>976886</v>
      </c>
      <c r="C25" s="102">
        <v>413798</v>
      </c>
      <c r="D25" s="102">
        <v>878</v>
      </c>
      <c r="E25" s="105">
        <v>197073</v>
      </c>
      <c r="F25" s="95">
        <v>52071</v>
      </c>
      <c r="G25" s="95">
        <v>58594</v>
      </c>
      <c r="H25" s="105">
        <v>30552</v>
      </c>
      <c r="I25" s="105">
        <v>0</v>
      </c>
      <c r="J25" s="95">
        <v>0</v>
      </c>
      <c r="K25" s="96">
        <v>0</v>
      </c>
      <c r="L25" s="106">
        <f>SUM(B25:K25)</f>
        <v>1729852</v>
      </c>
    </row>
    <row r="26" spans="1:12" ht="25.2" customHeight="1" x14ac:dyDescent="0.3">
      <c r="A26" s="31" t="s">
        <v>154</v>
      </c>
      <c r="B26" s="31">
        <v>25614</v>
      </c>
      <c r="C26" s="34">
        <v>4997</v>
      </c>
      <c r="D26" s="34">
        <v>63</v>
      </c>
      <c r="E26" s="107">
        <v>23862</v>
      </c>
      <c r="F26" s="108">
        <v>60849</v>
      </c>
      <c r="G26" s="108">
        <v>450</v>
      </c>
      <c r="H26" s="109">
        <v>56</v>
      </c>
      <c r="I26" s="108">
        <v>3478</v>
      </c>
      <c r="J26" s="108">
        <v>0</v>
      </c>
      <c r="K26" s="110">
        <v>-119369</v>
      </c>
      <c r="L26" s="106">
        <f t="shared" ref="L26:L29" si="1">SUM(B26:K26)</f>
        <v>0</v>
      </c>
    </row>
    <row r="27" spans="1:12" ht="25.2" customHeight="1" x14ac:dyDescent="0.3">
      <c r="A27" s="60" t="s">
        <v>155</v>
      </c>
      <c r="B27" s="60">
        <f>SUM(B25:B26)</f>
        <v>1002500</v>
      </c>
      <c r="C27" s="60">
        <f t="shared" ref="C27" si="2">SUM(C25:C26)</f>
        <v>418795</v>
      </c>
      <c r="D27" s="60">
        <f t="shared" ref="D27" si="3">SUM(D25:D26)</f>
        <v>941</v>
      </c>
      <c r="E27" s="60">
        <f t="shared" ref="E27" si="4">SUM(E25:E26)</f>
        <v>220935</v>
      </c>
      <c r="F27" s="60">
        <f t="shared" ref="F27" si="5">SUM(F25:F26)</f>
        <v>112920</v>
      </c>
      <c r="G27" s="60">
        <f t="shared" ref="G27" si="6">SUM(G25:G26)</f>
        <v>59044</v>
      </c>
      <c r="H27" s="60">
        <f t="shared" ref="H27" si="7">SUM(H25:H26)</f>
        <v>30608</v>
      </c>
      <c r="I27" s="60">
        <f t="shared" ref="I27" si="8">SUM(I25:I26)</f>
        <v>3478</v>
      </c>
      <c r="J27" s="60">
        <f t="shared" ref="J27" si="9">SUM(J25:J26)</f>
        <v>0</v>
      </c>
      <c r="K27" s="60">
        <f t="shared" ref="K27" si="10">SUM(K25:K26)</f>
        <v>-119369</v>
      </c>
      <c r="L27" s="106">
        <f t="shared" si="1"/>
        <v>1729852</v>
      </c>
    </row>
    <row r="28" spans="1:12" ht="25.2" customHeight="1" x14ac:dyDescent="0.3">
      <c r="A28" s="31" t="s">
        <v>156</v>
      </c>
      <c r="B28" s="31">
        <v>0</v>
      </c>
      <c r="C28" s="34">
        <v>17</v>
      </c>
      <c r="D28" s="34">
        <v>0</v>
      </c>
      <c r="E28" s="34">
        <v>242</v>
      </c>
      <c r="F28" s="105">
        <v>34921</v>
      </c>
      <c r="G28" s="95">
        <v>-1</v>
      </c>
      <c r="H28" s="95">
        <v>0</v>
      </c>
      <c r="I28" s="95">
        <v>1851</v>
      </c>
      <c r="J28" s="95">
        <v>0</v>
      </c>
      <c r="K28" s="96">
        <v>0</v>
      </c>
      <c r="L28" s="106">
        <f t="shared" si="1"/>
        <v>37030</v>
      </c>
    </row>
    <row r="29" spans="1:12" ht="25.2" customHeight="1" x14ac:dyDescent="0.3">
      <c r="A29" s="31" t="s">
        <v>157</v>
      </c>
      <c r="B29" s="31">
        <v>264000</v>
      </c>
      <c r="C29" s="35">
        <v>124733</v>
      </c>
      <c r="D29" s="35">
        <v>-503</v>
      </c>
      <c r="E29" s="35">
        <v>59611</v>
      </c>
      <c r="F29" s="107">
        <v>74672</v>
      </c>
      <c r="G29" s="108">
        <v>13378</v>
      </c>
      <c r="H29" s="108">
        <v>1156</v>
      </c>
      <c r="I29" s="109">
        <v>2039</v>
      </c>
      <c r="J29" s="108">
        <v>-2128</v>
      </c>
      <c r="K29" s="110">
        <v>-13139</v>
      </c>
      <c r="L29" s="106">
        <f t="shared" si="1"/>
        <v>523819</v>
      </c>
    </row>
    <row r="30" spans="1:12" ht="25.2" customHeight="1" x14ac:dyDescent="0.3">
      <c r="A30" s="31" t="s">
        <v>158</v>
      </c>
      <c r="B30" s="31"/>
      <c r="C30" s="34"/>
      <c r="D30" s="34"/>
      <c r="E30" s="34"/>
      <c r="F30" s="111"/>
      <c r="G30" s="95"/>
      <c r="H30" s="112"/>
      <c r="I30" s="111"/>
      <c r="J30" s="112"/>
      <c r="K30" s="113"/>
      <c r="L30" s="106"/>
    </row>
    <row r="31" spans="1:12" ht="25.2" customHeight="1" x14ac:dyDescent="0.3">
      <c r="A31" s="31" t="s">
        <v>159</v>
      </c>
      <c r="B31" s="31"/>
      <c r="C31" s="34"/>
      <c r="D31" s="34"/>
      <c r="E31" s="34"/>
      <c r="F31" s="105"/>
      <c r="G31" s="95"/>
      <c r="H31" s="95"/>
      <c r="I31" s="105"/>
      <c r="J31" s="95"/>
      <c r="K31" s="96"/>
      <c r="L31" s="106">
        <v>210187</v>
      </c>
    </row>
    <row r="32" spans="1:12" ht="25.2" customHeight="1" x14ac:dyDescent="0.3">
      <c r="A32" s="31" t="s">
        <v>160</v>
      </c>
      <c r="B32" s="31"/>
      <c r="C32" s="34"/>
      <c r="D32" s="34"/>
      <c r="E32" s="34"/>
      <c r="F32" s="109"/>
      <c r="G32" s="108"/>
      <c r="H32" s="108"/>
      <c r="I32" s="109"/>
      <c r="J32" s="108"/>
      <c r="K32" s="110"/>
      <c r="L32" s="106">
        <v>2515</v>
      </c>
    </row>
    <row r="33" spans="1:12" ht="25.2" customHeight="1" x14ac:dyDescent="0.3">
      <c r="A33" s="31" t="s">
        <v>65</v>
      </c>
      <c r="B33" s="31"/>
      <c r="C33" s="34"/>
      <c r="D33" s="34"/>
      <c r="E33" s="34"/>
      <c r="F33" s="111"/>
      <c r="G33" s="112"/>
      <c r="H33" s="112"/>
      <c r="I33" s="111"/>
      <c r="J33" s="112"/>
      <c r="K33" s="113"/>
      <c r="L33" s="106">
        <v>-72868</v>
      </c>
    </row>
    <row r="34" spans="1:12" ht="25.2" customHeight="1" thickBot="1" x14ac:dyDescent="0.35">
      <c r="A34" s="60" t="s">
        <v>66</v>
      </c>
      <c r="B34" s="54"/>
      <c r="C34" s="40"/>
      <c r="D34" s="40"/>
      <c r="E34" s="40"/>
      <c r="F34" s="114"/>
      <c r="G34" s="115"/>
      <c r="H34" s="115"/>
      <c r="I34" s="114"/>
      <c r="J34" s="115"/>
      <c r="K34" s="116"/>
      <c r="L34" s="127">
        <f>L29-(SUM(L31:L33))</f>
        <v>383985</v>
      </c>
    </row>
    <row r="35" spans="1:12" ht="25.2" customHeight="1" thickTop="1" x14ac:dyDescent="0.3">
      <c r="A35" s="60" t="s">
        <v>161</v>
      </c>
      <c r="B35" s="54"/>
      <c r="C35" s="103"/>
      <c r="D35" s="103"/>
      <c r="E35" s="103"/>
      <c r="F35" s="117"/>
      <c r="G35" s="118"/>
      <c r="H35" s="118"/>
      <c r="I35" s="117"/>
      <c r="J35" s="118"/>
      <c r="K35" s="119"/>
      <c r="L35" s="126"/>
    </row>
    <row r="36" spans="1:12" ht="25.2" customHeight="1" x14ac:dyDescent="0.3">
      <c r="A36" s="31" t="s">
        <v>162</v>
      </c>
      <c r="B36" s="31">
        <v>260916</v>
      </c>
      <c r="C36" s="34">
        <v>74521</v>
      </c>
      <c r="D36" s="34">
        <v>4</v>
      </c>
      <c r="E36" s="34">
        <v>48021</v>
      </c>
      <c r="F36" s="120">
        <v>31408</v>
      </c>
      <c r="G36" s="121">
        <v>44001</v>
      </c>
      <c r="H36" s="121">
        <v>15728</v>
      </c>
      <c r="I36" s="120">
        <v>0</v>
      </c>
      <c r="J36" s="121">
        <v>0</v>
      </c>
      <c r="K36" s="122">
        <v>-2129</v>
      </c>
      <c r="L36" s="106">
        <f t="shared" ref="L36:L38" si="11">SUM(B36:K36)</f>
        <v>472470</v>
      </c>
    </row>
    <row r="37" spans="1:12" ht="25.2" customHeight="1" x14ac:dyDescent="0.3">
      <c r="A37" s="31" t="s">
        <v>163</v>
      </c>
      <c r="B37" s="31">
        <v>127868</v>
      </c>
      <c r="C37" s="35">
        <v>158412</v>
      </c>
      <c r="D37" s="35">
        <v>85</v>
      </c>
      <c r="E37" s="35">
        <v>688</v>
      </c>
      <c r="F37" s="107">
        <v>20895</v>
      </c>
      <c r="G37" s="108">
        <v>845</v>
      </c>
      <c r="H37" s="108">
        <v>3037</v>
      </c>
      <c r="I37" s="109">
        <v>0</v>
      </c>
      <c r="J37" s="108">
        <v>0</v>
      </c>
      <c r="K37" s="110">
        <v>-27879</v>
      </c>
      <c r="L37" s="106">
        <f t="shared" si="11"/>
        <v>283951</v>
      </c>
    </row>
    <row r="38" spans="1:12" ht="25.2" customHeight="1" x14ac:dyDescent="0.3">
      <c r="A38" s="31" t="s">
        <v>61</v>
      </c>
      <c r="B38" s="31">
        <v>315093</v>
      </c>
      <c r="C38" s="34">
        <v>70260</v>
      </c>
      <c r="D38" s="34">
        <v>337</v>
      </c>
      <c r="E38" s="34">
        <v>22899</v>
      </c>
      <c r="F38" s="105">
        <v>24502</v>
      </c>
      <c r="G38" s="95">
        <v>16118</v>
      </c>
      <c r="H38" s="95">
        <v>15762</v>
      </c>
      <c r="I38" s="105">
        <v>48</v>
      </c>
      <c r="J38" s="95">
        <v>1076</v>
      </c>
      <c r="K38" s="96">
        <v>-10392</v>
      </c>
      <c r="L38" s="106">
        <f t="shared" si="11"/>
        <v>455703</v>
      </c>
    </row>
    <row r="39" spans="1:12" ht="25.2" customHeight="1" x14ac:dyDescent="0.3">
      <c r="A39" s="60" t="s">
        <v>165</v>
      </c>
      <c r="B39" s="54"/>
      <c r="C39" s="40"/>
      <c r="D39" s="40"/>
      <c r="E39" s="40"/>
      <c r="F39" s="114"/>
      <c r="G39" s="115"/>
      <c r="H39" s="123"/>
      <c r="I39" s="114"/>
      <c r="J39" s="115"/>
      <c r="K39" s="116"/>
      <c r="L39" s="106"/>
    </row>
    <row r="40" spans="1:12" ht="25.2" customHeight="1" x14ac:dyDescent="0.3">
      <c r="A40" s="92" t="s">
        <v>166</v>
      </c>
      <c r="B40" s="92">
        <v>2856265</v>
      </c>
      <c r="C40" s="87">
        <v>975878</v>
      </c>
      <c r="D40" s="87">
        <v>0</v>
      </c>
      <c r="E40" s="87">
        <v>282039</v>
      </c>
      <c r="F40" s="107">
        <v>981809</v>
      </c>
      <c r="G40" s="108">
        <v>108653</v>
      </c>
      <c r="H40" s="107">
        <v>55198</v>
      </c>
      <c r="I40" s="109">
        <v>34943</v>
      </c>
      <c r="J40" s="108">
        <v>285674</v>
      </c>
      <c r="K40" s="110">
        <v>-436855</v>
      </c>
      <c r="L40" s="106">
        <f t="shared" ref="L40:L42" si="12">SUM(B40:K40)</f>
        <v>5143604</v>
      </c>
    </row>
    <row r="41" spans="1:12" ht="25.2" customHeight="1" x14ac:dyDescent="0.3">
      <c r="A41" s="31" t="s">
        <v>167</v>
      </c>
      <c r="B41" s="31">
        <v>1359574</v>
      </c>
      <c r="C41" s="34">
        <v>569004</v>
      </c>
      <c r="D41" s="34">
        <v>0</v>
      </c>
      <c r="E41" s="34">
        <v>142900</v>
      </c>
      <c r="F41" s="105">
        <v>278690</v>
      </c>
      <c r="G41" s="95">
        <v>76103</v>
      </c>
      <c r="H41" s="124">
        <v>66522</v>
      </c>
      <c r="I41" s="105">
        <v>4740</v>
      </c>
      <c r="J41" s="95">
        <v>1611875</v>
      </c>
      <c r="K41" s="96">
        <v>-500481</v>
      </c>
      <c r="L41" s="106">
        <f t="shared" si="12"/>
        <v>3608927</v>
      </c>
    </row>
    <row r="42" spans="1:12" ht="25.2" customHeight="1" x14ac:dyDescent="0.3">
      <c r="A42" s="55" t="s">
        <v>168</v>
      </c>
      <c r="B42" s="31">
        <v>0</v>
      </c>
      <c r="C42" s="34">
        <v>425</v>
      </c>
      <c r="D42" s="34">
        <v>0</v>
      </c>
      <c r="E42" s="34">
        <v>5623</v>
      </c>
      <c r="F42" s="125">
        <v>0</v>
      </c>
      <c r="G42" s="121">
        <v>0</v>
      </c>
      <c r="H42" s="125">
        <v>0</v>
      </c>
      <c r="I42" s="120">
        <v>30368</v>
      </c>
      <c r="J42" s="121">
        <v>0</v>
      </c>
      <c r="K42" s="122">
        <v>0</v>
      </c>
      <c r="L42" s="106">
        <f t="shared" si="12"/>
        <v>36416</v>
      </c>
    </row>
  </sheetData>
  <mergeCells count="2">
    <mergeCell ref="A23:L23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Consolidated Balance Sheet</vt:lpstr>
      <vt:lpstr>Consolidated Profit and Loss</vt:lpstr>
      <vt:lpstr>Consolidated Cash Flow</vt:lpstr>
      <vt:lpstr>Segment Profit and Loss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2026-09-09T10:21:17Z</dcterms:modified>
</cp:coreProperties>
</file>